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E3F2A4CB-D852-4781-AC4E-B58C5847F867}" xr6:coauthVersionLast="47" xr6:coauthVersionMax="47" xr10:uidLastSave="{00000000-0000-0000-0000-000000000000}"/>
  <bookViews>
    <workbookView xWindow="360" yWindow="-13800" windowWidth="12750" windowHeight="12015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1" l="1"/>
  <c r="D16" i="1"/>
  <c r="D15" i="1"/>
  <c r="D14" i="1"/>
  <c r="D13" i="1"/>
  <c r="D12" i="1"/>
  <c r="D11" i="1"/>
  <c r="D10" i="1"/>
  <c r="D6" i="1"/>
  <c r="D7" i="1"/>
  <c r="D8" i="1"/>
  <c r="D9" i="1"/>
  <c r="D3" i="1"/>
  <c r="D4" i="1"/>
  <c r="D5" i="1"/>
  <c r="D2" i="1"/>
</calcChain>
</file>

<file path=xl/sharedStrings.xml><?xml version="1.0" encoding="utf-8"?>
<sst xmlns="http://schemas.openxmlformats.org/spreadsheetml/2006/main" count="47" uniqueCount="27">
  <si>
    <t>ID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</si>
  <si>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</si>
  <si>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</si>
  <si>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</si>
  <si>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nameID</t>
    <phoneticPr fontId="1"/>
  </si>
  <si>
    <t>rangType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</si>
  <si>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</si>
  <si>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</si>
  <si>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正面10マス</t>
    <rPh sb="0" eb="2">
      <t>ショウメン</t>
    </rPh>
    <phoneticPr fontId="1"/>
  </si>
  <si>
    <t>effectID[]</t>
    <phoneticPr fontId="1"/>
  </si>
  <si>
    <t>HP10回復</t>
    <rPh sb="4" eb="6">
      <t>カイフク</t>
    </rPh>
    <phoneticPr fontId="1"/>
  </si>
  <si>
    <t>満腹度50HP10回復</t>
    <rPh sb="0" eb="3">
      <t>マンプクド</t>
    </rPh>
    <rPh sb="9" eb="11">
      <t>カイフク</t>
    </rPh>
    <phoneticPr fontId="1"/>
  </si>
  <si>
    <t>満腹度100回復</t>
    <rPh sb="6" eb="8">
      <t>カイフク</t>
    </rPh>
    <phoneticPr fontId="1"/>
  </si>
  <si>
    <t>フロア全体</t>
    <rPh sb="3" eb="5">
      <t>ゼンタイ</t>
    </rPh>
    <phoneticPr fontId="1"/>
  </si>
  <si>
    <t>部屋全体</t>
    <rPh sb="0" eb="2">
      <t>ヘヤ</t>
    </rPh>
    <rPh sb="2" eb="4">
      <t>ゼンタイ</t>
    </rPh>
    <phoneticPr fontId="1"/>
  </si>
  <si>
    <t>部屋内50ダメージ</t>
    <rPh sb="0" eb="3">
      <t>ヘヤナイ</t>
    </rPh>
    <phoneticPr fontId="1"/>
  </si>
  <si>
    <t>部屋内31ダメージ</t>
    <rPh sb="0" eb="3">
      <t>ヘヤナイ</t>
    </rPh>
    <phoneticPr fontId="1"/>
  </si>
  <si>
    <t>5ダメ+アイテム焼き</t>
    <rPh sb="8" eb="9">
      <t>ヤ</t>
    </rPh>
    <phoneticPr fontId="1"/>
  </si>
  <si>
    <t>アイテムを腐らせる</t>
    <rPh sb="5" eb="6">
      <t>クサ</t>
    </rPh>
    <phoneticPr fontId="1"/>
  </si>
  <si>
    <t>前方10マス場所替え</t>
    <rPh sb="0" eb="2">
      <t>ゼンポウ</t>
    </rPh>
    <rPh sb="6" eb="8">
      <t>バショ</t>
    </rPh>
    <rPh sb="8" eb="9">
      <t>ガ</t>
    </rPh>
    <phoneticPr fontId="1"/>
  </si>
  <si>
    <t>前方10マス25ダメ</t>
    <rPh sb="0" eb="2">
      <t>ゼンポウ</t>
    </rPh>
    <phoneticPr fontId="1"/>
  </si>
  <si>
    <t>10マス吹き飛ばし</t>
    <rPh sb="4" eb="5">
      <t>フ</t>
    </rPh>
    <rPh sb="6" eb="7">
      <t>ト</t>
    </rPh>
    <phoneticPr fontId="1"/>
  </si>
  <si>
    <t>前方10ワープ</t>
    <phoneticPr fontId="1"/>
  </si>
  <si>
    <t>5ダメージ</t>
    <phoneticPr fontId="1"/>
  </si>
  <si>
    <t>ワープ</t>
    <phoneticPr fontId="1"/>
  </si>
  <si>
    <t>起点と周囲８マス</t>
    <rPh sb="0" eb="2">
      <t>キテン</t>
    </rPh>
    <rPh sb="3" eb="5">
      <t>シュウイ</t>
    </rPh>
    <phoneticPr fontId="1"/>
  </si>
  <si>
    <t>罠を可視化</t>
    <rPh sb="0" eb="1">
      <t>ワナ</t>
    </rPh>
    <rPh sb="2" eb="5">
      <t>カシカ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</si>
</sst>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tabSelected="1" workbookViewId="0">
      <selection activeCell="G10" sqref="G10"/>
    </sheetView>
  </sheetViews>
  <sheetFormatPr defaultRowHeight="18.75"/>
  <cols>
    <col min="1" max="1" width="3.375" bestFit="1" customWidth="1"/>
    <col min="2" max="2" width="19.375" bestFit="1" customWidth="1"/>
    <col min="3" max="3" width="8.125" bestFit="1" customWidth="1"/>
    <col min="4" max="4" width="9.375" hidden="1" customWidth="1"/>
    <col min="5" max="5" width="11.125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5</v>
      </c>
      <c r="E1" s="1" t="s">
        <v>3</v>
      </c>
      <c r="F1" s="1" t="s">
        <v>9</v>
      </c>
      <c r="G1" s="1" t="s">
        <v>9</v>
      </c>
      <c r="H1" s="1" t="s">
        <v>9</v>
      </c>
      <c r="I1" s="1" t="s">
        <v>9</v>
      </c>
    </row>
    <row r="2" spans="1:9">
      <c r="A2" s="2">
        <v>0</v>
      </c>
      <c r="B2" s="2" t="s">
        <v>2</v>
      </c>
      <c r="C2" s="2">
        <v>4000</v>
      </c>
      <c r="D2" s="2">
        <f>VLOOKUP(E2,reference!A:B,2,FALSE)</f>
        <v>0</v>
      </c>
      <c r="E2" s="2" t="s">
        <v>6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 t="s">
        <v>10</v>
      </c>
      <c r="C3" s="2">
        <v>-1</v>
      </c>
      <c r="D3" s="2">
        <f>VLOOKUP(E3,reference!A:B,2,FALSE)</f>
        <v>1</v>
      </c>
      <c r="E3" s="2" t="s">
        <v>7</v>
      </c>
      <c r="F3" s="2">
        <v>1</v>
      </c>
      <c r="G3" s="2">
        <v>-1</v>
      </c>
      <c r="H3" s="2">
        <v>-1</v>
      </c>
      <c r="I3" s="2">
        <v>-1</v>
      </c>
    </row>
    <row r="4" spans="1:9">
      <c r="A4" s="2">
        <v>2</v>
      </c>
      <c r="B4" s="2" t="s">
        <v>11</v>
      </c>
      <c r="C4" s="2">
        <v>-1</v>
      </c>
      <c r="D4" s="2">
        <f>VLOOKUP(E4,reference!A:B,2,FALSE)</f>
        <v>1</v>
      </c>
      <c r="E4" s="2" t="s">
        <v>7</v>
      </c>
      <c r="F4" s="2">
        <v>2</v>
      </c>
      <c r="G4" s="2">
        <v>1</v>
      </c>
      <c r="H4" s="2">
        <v>-1</v>
      </c>
      <c r="I4" s="2">
        <v>-1</v>
      </c>
    </row>
    <row r="5" spans="1:9">
      <c r="A5" s="2">
        <v>3</v>
      </c>
      <c r="B5" s="2" t="s">
        <v>12</v>
      </c>
      <c r="C5" s="2">
        <v>-1</v>
      </c>
      <c r="D5" s="2">
        <f>VLOOKUP(E5,reference!A:B,2,FALSE)</f>
        <v>1</v>
      </c>
      <c r="E5" s="2" t="s">
        <v>7</v>
      </c>
      <c r="F5" s="2">
        <v>3</v>
      </c>
      <c r="G5" s="2">
        <v>-1</v>
      </c>
      <c r="H5" s="2">
        <v>-1</v>
      </c>
      <c r="I5" s="2">
        <v>-1</v>
      </c>
    </row>
    <row r="6" spans="1:9">
      <c r="A6" s="2">
        <v>4</v>
      </c>
      <c r="B6" s="2" t="s">
        <v>16</v>
      </c>
      <c r="C6" s="2">
        <v>-1</v>
      </c>
      <c r="D6" s="2">
        <f>VLOOKUP(E6,reference!A:B,2,FALSE)</f>
        <v>3</v>
      </c>
      <c r="E6" s="2" t="s">
        <v>14</v>
      </c>
      <c r="F6" s="2">
        <v>4</v>
      </c>
      <c r="G6" s="2">
        <v>-1</v>
      </c>
      <c r="H6" s="2">
        <v>-1</v>
      </c>
      <c r="I6" s="2">
        <v>-1</v>
      </c>
    </row>
    <row r="7" spans="1:9">
      <c r="A7" s="2">
        <v>5</v>
      </c>
      <c r="B7" s="2" t="s">
        <v>15</v>
      </c>
      <c r="C7" s="2">
        <v>-1</v>
      </c>
      <c r="D7" s="2">
        <f>VLOOKUP(E7,reference!A:B,2,FALSE)</f>
        <v>3</v>
      </c>
      <c r="E7" s="2" t="s">
        <v>14</v>
      </c>
      <c r="F7" s="2">
        <v>5</v>
      </c>
      <c r="G7" s="2">
        <v>-1</v>
      </c>
      <c r="H7" s="2">
        <v>-1</v>
      </c>
      <c r="I7" s="2">
        <v>-1</v>
      </c>
    </row>
    <row r="8" spans="1:9">
      <c r="A8" s="2">
        <v>6</v>
      </c>
      <c r="B8" s="2" t="s">
        <v>17</v>
      </c>
      <c r="C8" s="2">
        <v>4001</v>
      </c>
      <c r="D8" s="2">
        <f>VLOOKUP(E8,reference!A:B,2,FALSE)</f>
        <v>0</v>
      </c>
      <c r="E8" s="2" t="s">
        <v>6</v>
      </c>
      <c r="F8" s="2">
        <v>7</v>
      </c>
      <c r="G8" s="2">
        <v>6</v>
      </c>
      <c r="H8" s="2">
        <v>-1</v>
      </c>
      <c r="I8" s="2">
        <v>-1</v>
      </c>
    </row>
    <row r="9" spans="1:9">
      <c r="A9" s="2">
        <v>7</v>
      </c>
      <c r="B9" s="2" t="s">
        <v>18</v>
      </c>
      <c r="C9" s="2">
        <v>4002</v>
      </c>
      <c r="D9" s="2">
        <f>VLOOKUP(E9,reference!A:B,2,FALSE)</f>
        <v>0</v>
      </c>
      <c r="E9" s="2" t="s">
        <v>6</v>
      </c>
      <c r="F9" s="2">
        <v>8</v>
      </c>
      <c r="G9" s="2">
        <v>-1</v>
      </c>
      <c r="H9" s="2">
        <v>-1</v>
      </c>
      <c r="I9" s="2">
        <v>-1</v>
      </c>
    </row>
    <row r="10" spans="1:9">
      <c r="A10" s="2">
        <v>8</v>
      </c>
      <c r="B10" s="2" t="s">
        <v>19</v>
      </c>
      <c r="C10" s="2">
        <v>-1</v>
      </c>
      <c r="D10" s="2">
        <f>VLOOKUP(E10,reference!A:B,2,FALSE)</f>
        <v>2</v>
      </c>
      <c r="E10" s="2" t="s">
        <v>8</v>
      </c>
      <c r="F10" s="2">
        <v>9</v>
      </c>
      <c r="G10" s="2">
        <v>-1</v>
      </c>
      <c r="H10" s="2">
        <v>-1</v>
      </c>
      <c r="I10" s="2">
        <v>-1</v>
      </c>
    </row>
    <row r="11" spans="1:9">
      <c r="A11" s="2">
        <v>9</v>
      </c>
      <c r="B11" s="2" t="s">
        <v>20</v>
      </c>
      <c r="C11" s="2">
        <v>-1</v>
      </c>
      <c r="D11" s="2">
        <f>VLOOKUP(E11,reference!A:B,2,FALSE)</f>
        <v>2</v>
      </c>
      <c r="E11" s="2" t="s">
        <v>8</v>
      </c>
      <c r="F11" s="2">
        <v>10</v>
      </c>
      <c r="G11" s="2">
        <v>-1</v>
      </c>
      <c r="H11" s="2">
        <v>-1</v>
      </c>
      <c r="I11" s="2">
        <v>-1</v>
      </c>
    </row>
    <row r="12" spans="1:9">
      <c r="A12" s="2">
        <v>10</v>
      </c>
      <c r="B12" s="2" t="s">
        <v>22</v>
      </c>
      <c r="C12" s="2">
        <v>-1</v>
      </c>
      <c r="D12" s="2">
        <f>VLOOKUP(E12,reference!A:B,2,FALSE)</f>
        <v>2</v>
      </c>
      <c r="E12" s="2" t="s">
        <v>8</v>
      </c>
      <c r="F12" s="2">
        <v>11</v>
      </c>
      <c r="G12" s="2">
        <v>-1</v>
      </c>
      <c r="H12" s="2">
        <v>-1</v>
      </c>
      <c r="I12" s="2">
        <v>-1</v>
      </c>
    </row>
    <row r="13" spans="1:9">
      <c r="A13" s="2">
        <v>11</v>
      </c>
      <c r="B13" s="2" t="s">
        <v>21</v>
      </c>
      <c r="C13" s="2">
        <v>-1</v>
      </c>
      <c r="D13" s="2">
        <f>VLOOKUP(E13,reference!A:B,2,FALSE)</f>
        <v>2</v>
      </c>
      <c r="E13" s="2" t="s">
        <v>8</v>
      </c>
      <c r="F13" s="2">
        <v>12</v>
      </c>
      <c r="G13" s="2">
        <v>-1</v>
      </c>
      <c r="H13" s="2">
        <v>-1</v>
      </c>
      <c r="I13" s="2">
        <v>-1</v>
      </c>
    </row>
    <row r="14" spans="1:9">
      <c r="A14" s="2">
        <v>12</v>
      </c>
      <c r="B14" s="2" t="s">
        <v>23</v>
      </c>
      <c r="C14" s="2">
        <v>-1</v>
      </c>
      <c r="D14" s="2">
        <f>VLOOKUP(E14,reference!A:B,2,FALSE)</f>
        <v>1</v>
      </c>
      <c r="E14" s="2" t="s">
        <v>7</v>
      </c>
      <c r="F14" s="2">
        <v>7</v>
      </c>
      <c r="G14" s="2">
        <v>-1</v>
      </c>
      <c r="H14" s="2">
        <v>-1</v>
      </c>
      <c r="I14" s="2">
        <v>-1</v>
      </c>
    </row>
    <row r="15" spans="1:9">
      <c r="A15" s="2">
        <v>13</v>
      </c>
      <c r="B15" s="2" t="s">
        <v>21</v>
      </c>
      <c r="C15" s="2">
        <v>-1</v>
      </c>
      <c r="D15" s="2">
        <f>VLOOKUP(E15,reference!A:B,2,FALSE)</f>
        <v>1</v>
      </c>
      <c r="E15" s="2" t="s">
        <v>7</v>
      </c>
      <c r="F15" s="2">
        <v>12</v>
      </c>
      <c r="G15" s="2">
        <v>-1</v>
      </c>
      <c r="H15" s="2">
        <v>-1</v>
      </c>
      <c r="I15" s="2">
        <v>-1</v>
      </c>
    </row>
    <row r="16" spans="1:9">
      <c r="A16" s="2">
        <v>14</v>
      </c>
      <c r="B16" s="2" t="s">
        <v>24</v>
      </c>
      <c r="C16" s="2">
        <v>-1</v>
      </c>
      <c r="D16" s="2">
        <f>VLOOKUP(E16,reference!A:B,2,FALSE)</f>
        <v>1</v>
      </c>
      <c r="E16" s="2" t="s">
        <v>7</v>
      </c>
      <c r="F16" s="2">
        <v>11</v>
      </c>
      <c r="G16" s="2">
        <v>-1</v>
      </c>
      <c r="H16" s="2">
        <v>-1</v>
      </c>
      <c r="I16" s="2">
        <v>-1</v>
      </c>
    </row>
    <row r="17" spans="1:9">
      <c r="A17" s="2">
        <v>15</v>
      </c>
      <c r="B17" s="2" t="s">
        <v>26</v>
      </c>
      <c r="C17" s="2">
        <v>-1</v>
      </c>
      <c r="D17" s="2">
        <f>VLOOKUP(E17,reference!A:B,2,FALSE)</f>
        <v>1</v>
      </c>
      <c r="E17" s="2" t="s">
        <v>7</v>
      </c>
      <c r="F17" s="2">
        <v>13</v>
      </c>
      <c r="G17" s="2">
        <v>-1</v>
      </c>
      <c r="H17" s="2">
        <v>-1</v>
      </c>
      <c r="I17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E2:E17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B6"/>
  <sheetViews>
    <sheetView workbookViewId="0">
      <selection activeCell="C10" sqref="C10"/>
    </sheetView>
  </sheetViews>
  <sheetFormatPr defaultRowHeight="18.75"/>
  <cols>
    <col min="1" max="1" width="17.25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  <row r="4" spans="1:2">
      <c r="A4" t="s">
        <v>14</v>
      </c>
      <c r="B4">
        <v>3</v>
      </c>
    </row>
    <row r="5" spans="1:2">
      <c r="A5" t="s">
        <v>13</v>
      </c>
      <c r="B5">
        <v>4</v>
      </c>
    </row>
    <row r="6" spans="1:2">
      <c r="A6" t="s">
        <v>25</v>
      </c>
      <c r="B6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2026-07-16T06:01:33Z</dcterms:modified>
</cp:coreProperties>
</file>