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ゲーム開発Ⅰ\UnityProject\2DRoguelike\Assets\Resources\MasterData\"/>
    </mc:Choice>
  </mc:AlternateContent>
  <xr:revisionPtr revIDLastSave="0" documentId="13_ncr:1_{914CE1BF-1035-41AE-99D9-34FBDE333862}" xr6:coauthVersionLast="47" xr6:coauthVersionMax="47" xr10:uidLastSave="{00000000-0000-0000-0000-000000000000}"/>
  <bookViews>
    <workbookView xWindow="14250" yWindow="-13320" windowWidth="12750" windowHeight="12015" xr2:uid="{00000000-000D-0000-FFFF-FFFF00000000}"/>
  </bookViews>
  <sheets>
    <sheet name="ActionData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" l="1"/>
  <c r="D19" i="1"/>
  <c r="D17" i="1"/>
  <c r="D16" i="1"/>
  <c r="D15" i="1"/>
  <c r="D14" i="1"/>
  <c r="D13" i="1"/>
  <c r="D12" i="1"/>
  <c r="D11" i="1"/>
  <c r="D10" i="1"/>
  <c r="D6" i="1"/>
  <c r="D7" i="1"/>
  <c r="D8" i="1"/>
  <c r="D9" i="1"/>
  <c r="D3" i="1"/>
  <c r="D4" i="1"/>
  <c r="D5" i="1"/>
  <c r="D2" i="1"/>
</calcChain>
</file>

<file path=xl/sharedStrings.xml><?xml version="1.0" encoding="utf-8"?>
<sst xmlns="http://schemas.openxmlformats.org/spreadsheetml/2006/main" count="50" uniqueCount="28">
  <si>
    <t>ID</t>
    <phoneticPr fontId="1"/>
  </si>
  <si>
    <t>comment</t>
    <phoneticPr fontId="1"/>
  </si>
  <si>
    <t>通常攻撃</t>
    <rPh sb="0" eb="4">
      <t>ツウジョウコウゲキ</t>
    </rPh>
    <phoneticPr fontId="1"/>
  </si>
  <si>
    <t>select</t>
    <phoneticPr fontId="1"/>
  </si>
  <si>
    <t>nameID</t>
    <phoneticPr fontId="1"/>
  </si>
  <si>
    <t>rangType</t>
    <phoneticPr fontId="1"/>
  </si>
  <si>
    <t>正面1マス</t>
    <rPh sb="0" eb="2">
      <t>ショウメン</t>
    </rPh>
    <phoneticPr fontId="1"/>
  </si>
  <si>
    <t>行動者</t>
    <rPh sb="0" eb="3">
      <t>コウドウシャ</t>
    </rPh>
    <phoneticPr fontId="1"/>
  </si>
  <si>
    <t>正面10マス</t>
    <rPh sb="0" eb="2">
      <t>ショウメン</t>
    </rPh>
    <phoneticPr fontId="1"/>
  </si>
  <si>
    <t>effectID[]</t>
    <phoneticPr fontId="1"/>
  </si>
  <si>
    <t>HP10回復</t>
    <rPh sb="4" eb="6">
      <t>カイフク</t>
    </rPh>
    <phoneticPr fontId="1"/>
  </si>
  <si>
    <t>満腹度50HP10回復</t>
    <rPh sb="0" eb="3">
      <t>マンプクド</t>
    </rPh>
    <rPh sb="9" eb="11">
      <t>カイフク</t>
    </rPh>
    <phoneticPr fontId="1"/>
  </si>
  <si>
    <t>満腹度100回復</t>
    <rPh sb="6" eb="8">
      <t>カイフク</t>
    </rPh>
    <phoneticPr fontId="1"/>
  </si>
  <si>
    <t>部屋全体</t>
    <rPh sb="0" eb="2">
      <t>ヘヤ</t>
    </rPh>
    <rPh sb="2" eb="4">
      <t>ゼンタイ</t>
    </rPh>
    <phoneticPr fontId="1"/>
  </si>
  <si>
    <t>部屋内50ダメージ</t>
    <rPh sb="0" eb="3">
      <t>ヘヤナイ</t>
    </rPh>
    <phoneticPr fontId="1"/>
  </si>
  <si>
    <t>部屋内31ダメージ</t>
    <rPh sb="0" eb="3">
      <t>ヘヤナイ</t>
    </rPh>
    <phoneticPr fontId="1"/>
  </si>
  <si>
    <t>5ダメ+アイテム焼き</t>
    <rPh sb="8" eb="9">
      <t>ヤ</t>
    </rPh>
    <phoneticPr fontId="1"/>
  </si>
  <si>
    <t>アイテムを腐らせる</t>
    <rPh sb="5" eb="6">
      <t>クサ</t>
    </rPh>
    <phoneticPr fontId="1"/>
  </si>
  <si>
    <t>前方10マス場所替え</t>
    <rPh sb="0" eb="2">
      <t>ゼンポウ</t>
    </rPh>
    <rPh sb="6" eb="8">
      <t>バショ</t>
    </rPh>
    <rPh sb="8" eb="9">
      <t>ガ</t>
    </rPh>
    <phoneticPr fontId="1"/>
  </si>
  <si>
    <t>前方10マス25ダメ</t>
    <rPh sb="0" eb="2">
      <t>ゼンポウ</t>
    </rPh>
    <phoneticPr fontId="1"/>
  </si>
  <si>
    <t>10マス吹き飛ばし</t>
    <rPh sb="4" eb="5">
      <t>フ</t>
    </rPh>
    <rPh sb="6" eb="7">
      <t>ト</t>
    </rPh>
    <phoneticPr fontId="1"/>
  </si>
  <si>
    <t>前方10ワープ</t>
    <phoneticPr fontId="1"/>
  </si>
  <si>
    <t>5ダメージ</t>
    <phoneticPr fontId="1"/>
  </si>
  <si>
    <t>ワープ</t>
    <phoneticPr fontId="1"/>
  </si>
  <si>
    <t>起点と周囲８マス</t>
    <rPh sb="0" eb="2">
      <t>キテン</t>
    </rPh>
    <rPh sb="3" eb="5">
      <t>シュウイ</t>
    </rPh>
    <phoneticPr fontId="1"/>
  </si>
  <si>
    <t>罠を可視化</t>
    <rPh sb="0" eb="1">
      <t>ワナ</t>
    </rPh>
    <rPh sb="2" eb="5">
      <t>カシカ</t>
    </rPh>
    <phoneticPr fontId="1"/>
  </si>
  <si>
    <t>起点と周囲8に50%爆発</t>
    <rPh sb="0" eb="2">
      <t>キテン</t>
    </rPh>
    <rPh sb="3" eb="5">
      <t>シュウイ</t>
    </rPh>
    <rPh sb="10" eb="12">
      <t>バクハツ</t>
    </rPh>
    <phoneticPr fontId="1"/>
  </si>
  <si>
    <t>起点と周囲8に100%爆発</t>
    <rPh sb="0" eb="2">
      <t>キテン</t>
    </rPh>
    <rPh sb="3" eb="5">
      <t>シュウイ</t>
    </rPh>
    <rPh sb="11" eb="13">
      <t>バクハツ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</si>
</sst>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7" workbookViewId="0">
      <selection activeCell="F20" sqref="F20"/>
    </sheetView>
  </sheetViews>
  <sheetFormatPr defaultRowHeight="18.75"/>
  <cols>
    <col min="1" max="1" width="3.375" bestFit="1" customWidth="1"/>
    <col min="2" max="2" width="22.25" bestFit="1" customWidth="1"/>
    <col min="3" max="3" width="8.125" bestFit="1" customWidth="1"/>
    <col min="4" max="4" width="9.375" hidden="1" customWidth="1"/>
    <col min="5" max="5" width="11.125" bestFit="1" customWidth="1"/>
    <col min="6" max="9" width="9.75" bestFit="1" customWidth="1"/>
  </cols>
  <sheetData>
    <row r="1" spans="1:9">
      <c r="A1" s="1" t="s">
        <v>0</v>
      </c>
      <c r="B1" s="1" t="s">
        <v>1</v>
      </c>
      <c r="C1" s="1" t="s">
        <v>4</v>
      </c>
      <c r="D1" s="1" t="s">
        <v>5</v>
      </c>
      <c r="E1" s="1" t="s">
        <v>3</v>
      </c>
      <c r="F1" s="1" t="s">
        <v>9</v>
      </c>
      <c r="G1" s="1" t="s">
        <v>9</v>
      </c>
      <c r="H1" s="1" t="s">
        <v>9</v>
      </c>
      <c r="I1" s="1" t="s">
        <v>9</v>
      </c>
    </row>
    <row r="2" spans="1:9">
      <c r="A2" s="2">
        <v>0</v>
      </c>
      <c r="B2" s="2" t="s">
        <v>2</v>
      </c>
      <c r="C2" s="2">
        <v>4000</v>
      </c>
      <c r="D2" s="2">
        <f>VLOOKUP(E2,reference!A:B,2,FALSE)</f>
        <v>0</v>
      </c>
      <c r="E2" s="2" t="s">
        <v>6</v>
      </c>
      <c r="F2" s="2">
        <v>0</v>
      </c>
      <c r="G2" s="2">
        <v>-1</v>
      </c>
      <c r="H2" s="2">
        <v>-1</v>
      </c>
      <c r="I2" s="2">
        <v>-1</v>
      </c>
    </row>
    <row r="3" spans="1:9">
      <c r="A3" s="2">
        <v>1</v>
      </c>
      <c r="B3" s="2" t="s">
        <v>10</v>
      </c>
      <c r="C3" s="2">
        <v>-1</v>
      </c>
      <c r="D3" s="2">
        <f>VLOOKUP(E3,reference!A:B,2,FALSE)</f>
        <v>1</v>
      </c>
      <c r="E3" s="2" t="s">
        <v>7</v>
      </c>
      <c r="F3" s="2">
        <v>1</v>
      </c>
      <c r="G3" s="2">
        <v>-1</v>
      </c>
      <c r="H3" s="2">
        <v>-1</v>
      </c>
      <c r="I3" s="2">
        <v>-1</v>
      </c>
    </row>
    <row r="4" spans="1:9">
      <c r="A4" s="2">
        <v>2</v>
      </c>
      <c r="B4" s="2" t="s">
        <v>11</v>
      </c>
      <c r="C4" s="2">
        <v>-1</v>
      </c>
      <c r="D4" s="2">
        <f>VLOOKUP(E4,reference!A:B,2,FALSE)</f>
        <v>1</v>
      </c>
      <c r="E4" s="2" t="s">
        <v>7</v>
      </c>
      <c r="F4" s="2">
        <v>2</v>
      </c>
      <c r="G4" s="2">
        <v>1</v>
      </c>
      <c r="H4" s="2">
        <v>-1</v>
      </c>
      <c r="I4" s="2">
        <v>-1</v>
      </c>
    </row>
    <row r="5" spans="1:9">
      <c r="A5" s="2">
        <v>3</v>
      </c>
      <c r="B5" s="2" t="s">
        <v>12</v>
      </c>
      <c r="C5" s="2">
        <v>-1</v>
      </c>
      <c r="D5" s="2">
        <f>VLOOKUP(E5,reference!A:B,2,FALSE)</f>
        <v>1</v>
      </c>
      <c r="E5" s="2" t="s">
        <v>7</v>
      </c>
      <c r="F5" s="2">
        <v>3</v>
      </c>
      <c r="G5" s="2">
        <v>-1</v>
      </c>
      <c r="H5" s="2">
        <v>-1</v>
      </c>
      <c r="I5" s="2">
        <v>-1</v>
      </c>
    </row>
    <row r="6" spans="1:9">
      <c r="A6" s="2">
        <v>4</v>
      </c>
      <c r="B6" s="2" t="s">
        <v>15</v>
      </c>
      <c r="C6" s="2">
        <v>-1</v>
      </c>
      <c r="D6" s="2">
        <f>VLOOKUP(E6,reference!A:B,2,FALSE)</f>
        <v>3</v>
      </c>
      <c r="E6" s="2" t="s">
        <v>13</v>
      </c>
      <c r="F6" s="2">
        <v>4</v>
      </c>
      <c r="G6" s="2">
        <v>-1</v>
      </c>
      <c r="H6" s="2">
        <v>-1</v>
      </c>
      <c r="I6" s="2">
        <v>-1</v>
      </c>
    </row>
    <row r="7" spans="1:9">
      <c r="A7" s="2">
        <v>5</v>
      </c>
      <c r="B7" s="2" t="s">
        <v>14</v>
      </c>
      <c r="C7" s="2">
        <v>-1</v>
      </c>
      <c r="D7" s="2">
        <f>VLOOKUP(E7,reference!A:B,2,FALSE)</f>
        <v>3</v>
      </c>
      <c r="E7" s="2" t="s">
        <v>13</v>
      </c>
      <c r="F7" s="2">
        <v>5</v>
      </c>
      <c r="G7" s="2">
        <v>-1</v>
      </c>
      <c r="H7" s="2">
        <v>-1</v>
      </c>
      <c r="I7" s="2">
        <v>-1</v>
      </c>
    </row>
    <row r="8" spans="1:9">
      <c r="A8" s="2">
        <v>6</v>
      </c>
      <c r="B8" s="2" t="s">
        <v>16</v>
      </c>
      <c r="C8" s="2">
        <v>4001</v>
      </c>
      <c r="D8" s="2">
        <f>VLOOKUP(E8,reference!A:B,2,FALSE)</f>
        <v>0</v>
      </c>
      <c r="E8" s="2" t="s">
        <v>6</v>
      </c>
      <c r="F8" s="2">
        <v>7</v>
      </c>
      <c r="G8" s="2">
        <v>6</v>
      </c>
      <c r="H8" s="2">
        <v>-1</v>
      </c>
      <c r="I8" s="2">
        <v>-1</v>
      </c>
    </row>
    <row r="9" spans="1:9">
      <c r="A9" s="2">
        <v>7</v>
      </c>
      <c r="B9" s="2" t="s">
        <v>17</v>
      </c>
      <c r="C9" s="2">
        <v>4002</v>
      </c>
      <c r="D9" s="2">
        <f>VLOOKUP(E9,reference!A:B,2,FALSE)</f>
        <v>0</v>
      </c>
      <c r="E9" s="2" t="s">
        <v>6</v>
      </c>
      <c r="F9" s="2">
        <v>8</v>
      </c>
      <c r="G9" s="2">
        <v>-1</v>
      </c>
      <c r="H9" s="2">
        <v>-1</v>
      </c>
      <c r="I9" s="2">
        <v>-1</v>
      </c>
    </row>
    <row r="10" spans="1:9">
      <c r="A10" s="2">
        <v>8</v>
      </c>
      <c r="B10" s="2" t="s">
        <v>18</v>
      </c>
      <c r="C10" s="2">
        <v>-1</v>
      </c>
      <c r="D10" s="2">
        <f>VLOOKUP(E10,reference!A:B,2,FALSE)</f>
        <v>2</v>
      </c>
      <c r="E10" s="2" t="s">
        <v>8</v>
      </c>
      <c r="F10" s="2">
        <v>9</v>
      </c>
      <c r="G10" s="2">
        <v>-1</v>
      </c>
      <c r="H10" s="2">
        <v>-1</v>
      </c>
      <c r="I10" s="2">
        <v>-1</v>
      </c>
    </row>
    <row r="11" spans="1:9">
      <c r="A11" s="2">
        <v>9</v>
      </c>
      <c r="B11" s="2" t="s">
        <v>19</v>
      </c>
      <c r="C11" s="2">
        <v>-1</v>
      </c>
      <c r="D11" s="2">
        <f>VLOOKUP(E11,reference!A:B,2,FALSE)</f>
        <v>2</v>
      </c>
      <c r="E11" s="2" t="s">
        <v>8</v>
      </c>
      <c r="F11" s="2">
        <v>10</v>
      </c>
      <c r="G11" s="2">
        <v>-1</v>
      </c>
      <c r="H11" s="2">
        <v>-1</v>
      </c>
      <c r="I11" s="2">
        <v>-1</v>
      </c>
    </row>
    <row r="12" spans="1:9">
      <c r="A12" s="2">
        <v>10</v>
      </c>
      <c r="B12" s="2" t="s">
        <v>21</v>
      </c>
      <c r="C12" s="2">
        <v>-1</v>
      </c>
      <c r="D12" s="2">
        <f>VLOOKUP(E12,reference!A:B,2,FALSE)</f>
        <v>2</v>
      </c>
      <c r="E12" s="2" t="s">
        <v>8</v>
      </c>
      <c r="F12" s="2">
        <v>11</v>
      </c>
      <c r="G12" s="2">
        <v>-1</v>
      </c>
      <c r="H12" s="2">
        <v>-1</v>
      </c>
      <c r="I12" s="2">
        <v>-1</v>
      </c>
    </row>
    <row r="13" spans="1:9">
      <c r="A13" s="2">
        <v>11</v>
      </c>
      <c r="B13" s="2" t="s">
        <v>20</v>
      </c>
      <c r="C13" s="2">
        <v>-1</v>
      </c>
      <c r="D13" s="2">
        <f>VLOOKUP(E13,reference!A:B,2,FALSE)</f>
        <v>2</v>
      </c>
      <c r="E13" s="2" t="s">
        <v>8</v>
      </c>
      <c r="F13" s="2">
        <v>12</v>
      </c>
      <c r="G13" s="2">
        <v>-1</v>
      </c>
      <c r="H13" s="2">
        <v>-1</v>
      </c>
      <c r="I13" s="2">
        <v>-1</v>
      </c>
    </row>
    <row r="14" spans="1:9">
      <c r="A14" s="2">
        <v>12</v>
      </c>
      <c r="B14" s="2" t="s">
        <v>22</v>
      </c>
      <c r="C14" s="2">
        <v>-1</v>
      </c>
      <c r="D14" s="2">
        <f>VLOOKUP(E14,reference!A:B,2,FALSE)</f>
        <v>1</v>
      </c>
      <c r="E14" s="2" t="s">
        <v>7</v>
      </c>
      <c r="F14" s="2">
        <v>7</v>
      </c>
      <c r="G14" s="2">
        <v>-1</v>
      </c>
      <c r="H14" s="2">
        <v>-1</v>
      </c>
      <c r="I14" s="2">
        <v>-1</v>
      </c>
    </row>
    <row r="15" spans="1:9">
      <c r="A15" s="2">
        <v>13</v>
      </c>
      <c r="B15" s="2" t="s">
        <v>20</v>
      </c>
      <c r="C15" s="2">
        <v>-1</v>
      </c>
      <c r="D15" s="2">
        <f>VLOOKUP(E15,reference!A:B,2,FALSE)</f>
        <v>1</v>
      </c>
      <c r="E15" s="2" t="s">
        <v>7</v>
      </c>
      <c r="F15" s="2">
        <v>12</v>
      </c>
      <c r="G15" s="2">
        <v>-1</v>
      </c>
      <c r="H15" s="2">
        <v>-1</v>
      </c>
      <c r="I15" s="2">
        <v>-1</v>
      </c>
    </row>
    <row r="16" spans="1:9">
      <c r="A16" s="2">
        <v>14</v>
      </c>
      <c r="B16" s="2" t="s">
        <v>23</v>
      </c>
      <c r="C16" s="2">
        <v>-1</v>
      </c>
      <c r="D16" s="2">
        <f>VLOOKUP(E16,reference!A:B,2,FALSE)</f>
        <v>1</v>
      </c>
      <c r="E16" s="2" t="s">
        <v>7</v>
      </c>
      <c r="F16" s="2">
        <v>11</v>
      </c>
      <c r="G16" s="2">
        <v>-1</v>
      </c>
      <c r="H16" s="2">
        <v>-1</v>
      </c>
      <c r="I16" s="2">
        <v>-1</v>
      </c>
    </row>
    <row r="17" spans="1:9">
      <c r="A17" s="2">
        <v>15</v>
      </c>
      <c r="B17" s="2" t="s">
        <v>25</v>
      </c>
      <c r="C17" s="2">
        <v>-1</v>
      </c>
      <c r="D17" s="2">
        <f>VLOOKUP(E17,reference!A:B,2,FALSE)</f>
        <v>1</v>
      </c>
      <c r="E17" s="2" t="s">
        <v>7</v>
      </c>
      <c r="F17" s="2">
        <v>13</v>
      </c>
      <c r="G17" s="2">
        <v>-1</v>
      </c>
      <c r="H17" s="2">
        <v>-1</v>
      </c>
      <c r="I17" s="2">
        <v>-1</v>
      </c>
    </row>
    <row r="18" spans="1:9">
      <c r="A18" s="2">
        <v>16</v>
      </c>
      <c r="B18" s="2" t="s">
        <v>26</v>
      </c>
      <c r="C18" s="2">
        <v>-1</v>
      </c>
      <c r="D18" s="2">
        <f>VLOOKUP(E18,reference!A:B,2,FALSE)</f>
        <v>4</v>
      </c>
      <c r="E18" s="2" t="s">
        <v>24</v>
      </c>
      <c r="F18" s="2">
        <v>14</v>
      </c>
      <c r="G18" s="2">
        <v>-1</v>
      </c>
      <c r="H18" s="2">
        <v>-1</v>
      </c>
      <c r="I18" s="2">
        <v>-1</v>
      </c>
    </row>
    <row r="19" spans="1:9">
      <c r="A19" s="2">
        <v>17</v>
      </c>
      <c r="B19" s="2" t="s">
        <v>27</v>
      </c>
      <c r="C19" s="2">
        <v>-1</v>
      </c>
      <c r="D19" s="2">
        <f>VLOOKUP(E19,reference!A:B,2,FALSE)</f>
        <v>4</v>
      </c>
      <c r="E19" s="2" t="s">
        <v>24</v>
      </c>
      <c r="F19" s="2">
        <v>15</v>
      </c>
      <c r="G19" s="2">
        <v>-1</v>
      </c>
      <c r="H19" s="2">
        <v>-1</v>
      </c>
      <c r="I19" s="2">
        <v>-1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BEF9F8-96FC-47DD-99AE-83018D7C222D}">
          <x14:formula1>
            <xm:f>reference!$A:$A</xm:f>
          </x14:formula1>
          <xm:sqref>E2:E19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5D92-8AB0-4E58-AB32-5914247D4A74}">
  <dimension ref="A1:B5"/>
  <sheetViews>
    <sheetView workbookViewId="0">
      <selection activeCell="B7" sqref="B7"/>
    </sheetView>
  </sheetViews>
  <sheetFormatPr defaultRowHeight="18.75"/>
  <cols>
    <col min="1" max="1" width="17.25" bestFit="1" customWidth="1"/>
    <col min="2" max="2" width="2.5" bestFit="1" customWidth="1"/>
  </cols>
  <sheetData>
    <row r="1" spans="1:2">
      <c r="A1" t="s">
        <v>6</v>
      </c>
      <c r="B1">
        <v>0</v>
      </c>
    </row>
    <row r="2" spans="1:2">
      <c r="A2" t="s">
        <v>7</v>
      </c>
      <c r="B2">
        <v>1</v>
      </c>
    </row>
    <row r="3" spans="1:2">
      <c r="A3" t="s">
        <v>8</v>
      </c>
      <c r="B3">
        <v>2</v>
      </c>
    </row>
    <row r="4" spans="1:2">
      <c r="A4" t="s">
        <v>13</v>
      </c>
      <c r="B4">
        <v>3</v>
      </c>
    </row>
    <row r="5" spans="1:2">
      <c r="A5" t="s">
        <v>24</v>
      </c>
      <c r="B5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ActionData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2026-07-17T02:22:13Z</dcterms:modified>
</cp:coreProperties>
</file>