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1DC9135E-8556-4080-9DA0-8F94EC88828C}" xr6:coauthVersionLast="47" xr6:coauthVersionMax="47" xr10:uidLastSave="{00000000-0000-0000-0000-000000000000}"/>
  <bookViews>
    <workbookView xWindow="8745" yWindow="-14475" windowWidth="21915" windowHeight="13425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7" i="1"/>
  <c r="D8" i="1"/>
  <c r="D9" i="1"/>
  <c r="D3" i="1"/>
  <c r="D4" i="1"/>
  <c r="D5" i="1"/>
  <c r="D2" i="1"/>
</calcChain>
</file>

<file path=xl/sharedStrings.xml><?xml version="1.0" encoding="utf-8"?>
<sst xmlns="http://schemas.openxmlformats.org/spreadsheetml/2006/main" count="30" uniqueCount="19">
  <si>
    <t>ID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</si>
  <si>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</si>
  <si>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</si>
  <si>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</si>
  <si>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nameID</t>
    <phoneticPr fontId="1"/>
  </si>
  <si>
    <t>rangType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</si>
  <si>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</si>
  <si>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</si>
  <si>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正面10マス</t>
    <rPh sb="0" eb="2">
      <t>ショウメン</t>
    </rPh>
    <phoneticPr fontId="1"/>
  </si>
  <si>
    <t>effectID[]</t>
    <phoneticPr fontId="1"/>
  </si>
  <si>
    <t>HP10回復</t>
    <rPh sb="4" eb="6">
      <t>カイフク</t>
    </rPh>
    <phoneticPr fontId="1"/>
  </si>
  <si>
    <t>満腹度50HP10回復</t>
    <rPh sb="0" eb="3">
      <t>マンプクド</t>
    </rPh>
    <rPh sb="9" eb="11">
      <t>カイフク</t>
    </rPh>
    <phoneticPr fontId="1"/>
  </si>
  <si>
    <t>満腹度100回復</t>
    <rPh sb="6" eb="8">
      <t>カイフク</t>
    </rPh>
    <phoneticPr fontId="1"/>
  </si>
  <si>
    <t>フロア全体</t>
    <rPh sb="3" eb="5">
      <t>ゼンタイ</t>
    </rPh>
    <phoneticPr fontId="1"/>
  </si>
  <si>
    <t>部屋全体</t>
    <rPh sb="0" eb="2">
      <t>ヘヤ</t>
    </rPh>
    <rPh sb="2" eb="4">
      <t>ゼンタイ</t>
    </rPh>
    <phoneticPr fontId="1"/>
  </si>
  <si>
    <t>部屋内50ダメージ</t>
    <rPh sb="0" eb="3">
      <t>ヘヤナイ</t>
    </rPh>
    <phoneticPr fontId="1"/>
  </si>
  <si>
    <t>部屋内31ダメージ</t>
    <rPh sb="0" eb="3">
      <t>ヘヤナイ</t>
    </rPh>
    <phoneticPr fontId="1"/>
  </si>
  <si>
    <t>5ダメ+アイテム焼き</t>
    <rPh sb="8" eb="9">
      <t>ヤ</t>
    </rPh>
    <phoneticPr fontId="1"/>
  </si>
  <si>
    <t>アイテムを腐らせる</t>
    <rPh sb="5" eb="6">
      <t>クサ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</si>
</sst>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C12" sqref="C12"/>
    </sheetView>
  </sheetViews>
  <sheetFormatPr defaultRowHeight="18.75"/>
  <cols>
    <col min="1" max="1" width="3.375" bestFit="1" customWidth="1"/>
    <col min="2" max="2" width="18.375" bestFit="1" customWidth="1"/>
    <col min="3" max="3" width="8.125" bestFit="1" customWidth="1"/>
    <col min="4" max="4" width="9.375" hidden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5</v>
      </c>
      <c r="E1" s="1" t="s">
        <v>3</v>
      </c>
      <c r="F1" s="1" t="s">
        <v>9</v>
      </c>
      <c r="G1" s="1" t="s">
        <v>9</v>
      </c>
      <c r="H1" s="1" t="s">
        <v>9</v>
      </c>
      <c r="I1" s="1" t="s">
        <v>9</v>
      </c>
    </row>
    <row r="2" spans="1:9">
      <c r="A2" s="2">
        <v>0</v>
      </c>
      <c r="B2" s="2" t="s">
        <v>2</v>
      </c>
      <c r="C2" s="2">
        <v>4000</v>
      </c>
      <c r="D2" s="2">
        <f>VLOOKUP(E2,reference!A:B,2,FALSE)</f>
        <v>0</v>
      </c>
      <c r="E2" s="2" t="s">
        <v>6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 t="s">
        <v>10</v>
      </c>
      <c r="C3" s="2">
        <v>-1</v>
      </c>
      <c r="D3" s="2">
        <f>VLOOKUP(E3,reference!A:B,2,FALSE)</f>
        <v>1</v>
      </c>
      <c r="E3" s="2" t="s">
        <v>7</v>
      </c>
      <c r="F3" s="2">
        <v>1</v>
      </c>
      <c r="G3" s="2">
        <v>-1</v>
      </c>
      <c r="H3" s="2">
        <v>-1</v>
      </c>
      <c r="I3" s="2">
        <v>-1</v>
      </c>
    </row>
    <row r="4" spans="1:9">
      <c r="A4" s="2">
        <v>2</v>
      </c>
      <c r="B4" s="2" t="s">
        <v>11</v>
      </c>
      <c r="C4" s="2">
        <v>-1</v>
      </c>
      <c r="D4" s="2">
        <f>VLOOKUP(E4,reference!A:B,2,FALSE)</f>
        <v>1</v>
      </c>
      <c r="E4" s="2" t="s">
        <v>7</v>
      </c>
      <c r="F4" s="2">
        <v>2</v>
      </c>
      <c r="G4" s="2">
        <v>1</v>
      </c>
      <c r="H4" s="2">
        <v>-1</v>
      </c>
      <c r="I4" s="2">
        <v>-1</v>
      </c>
    </row>
    <row r="5" spans="1:9">
      <c r="A5" s="2">
        <v>3</v>
      </c>
      <c r="B5" s="2" t="s">
        <v>12</v>
      </c>
      <c r="C5" s="2">
        <v>-1</v>
      </c>
      <c r="D5" s="2">
        <f>VLOOKUP(E5,reference!A:B,2,FALSE)</f>
        <v>1</v>
      </c>
      <c r="E5" s="2" t="s">
        <v>7</v>
      </c>
      <c r="F5" s="2">
        <v>3</v>
      </c>
      <c r="G5" s="2">
        <v>-1</v>
      </c>
      <c r="H5" s="2">
        <v>-1</v>
      </c>
      <c r="I5" s="2">
        <v>-1</v>
      </c>
    </row>
    <row r="6" spans="1:9">
      <c r="A6" s="2">
        <v>4</v>
      </c>
      <c r="B6" s="2" t="s">
        <v>16</v>
      </c>
      <c r="C6" s="2">
        <v>-1</v>
      </c>
      <c r="D6" s="2">
        <f>VLOOKUP(E6,reference!A:B,2,FALSE)</f>
        <v>3</v>
      </c>
      <c r="E6" s="2" t="s">
        <v>14</v>
      </c>
      <c r="F6" s="2">
        <v>4</v>
      </c>
      <c r="G6" s="2">
        <v>-1</v>
      </c>
      <c r="H6" s="2">
        <v>-1</v>
      </c>
      <c r="I6" s="2">
        <v>-1</v>
      </c>
    </row>
    <row r="7" spans="1:9">
      <c r="A7" s="2">
        <v>5</v>
      </c>
      <c r="B7" s="2" t="s">
        <v>15</v>
      </c>
      <c r="C7" s="2">
        <v>-1</v>
      </c>
      <c r="D7" s="2">
        <f>VLOOKUP(E7,reference!A:B,2,FALSE)</f>
        <v>3</v>
      </c>
      <c r="E7" s="2" t="s">
        <v>14</v>
      </c>
      <c r="F7" s="2">
        <v>5</v>
      </c>
      <c r="G7" s="2">
        <v>-1</v>
      </c>
      <c r="H7" s="2">
        <v>-1</v>
      </c>
      <c r="I7" s="2">
        <v>-1</v>
      </c>
    </row>
    <row r="8" spans="1:9">
      <c r="A8" s="2">
        <v>6</v>
      </c>
      <c r="B8" s="2" t="s">
        <v>17</v>
      </c>
      <c r="C8" s="2">
        <v>4001</v>
      </c>
      <c r="D8" s="2">
        <f>VLOOKUP(E8,reference!A:B,2,FALSE)</f>
        <v>0</v>
      </c>
      <c r="E8" s="2" t="s">
        <v>6</v>
      </c>
      <c r="F8" s="2">
        <v>7</v>
      </c>
      <c r="G8" s="2">
        <v>6</v>
      </c>
      <c r="H8" s="2">
        <v>-1</v>
      </c>
      <c r="I8" s="2">
        <v>-1</v>
      </c>
    </row>
    <row r="9" spans="1:9">
      <c r="A9" s="2">
        <v>7</v>
      </c>
      <c r="B9" s="2" t="s">
        <v>18</v>
      </c>
      <c r="C9" s="2">
        <v>4002</v>
      </c>
      <c r="D9" s="2">
        <f>VLOOKUP(E9,reference!A:B,2,FALSE)</f>
        <v>0</v>
      </c>
      <c r="E9" s="2" t="s">
        <v>6</v>
      </c>
      <c r="F9" s="2">
        <v>8</v>
      </c>
      <c r="G9" s="2">
        <v>-1</v>
      </c>
      <c r="H9" s="2">
        <v>-1</v>
      </c>
      <c r="I9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E2:E9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B5"/>
  <sheetViews>
    <sheetView workbookViewId="0">
      <selection sqref="A1:XFD5"/>
    </sheetView>
  </sheetViews>
  <sheetFormatPr defaultRowHeight="18.75"/>
  <cols>
    <col min="1" max="1" width="11.125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14</v>
      </c>
      <c r="B4">
        <v>3</v>
      </c>
    </row>
    <row r="5" spans="1:2">
      <c r="A5" t="s">
        <v>13</v>
      </c>
      <c r="B5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2026-07-13T02:51:32Z</dcterms:modified>
</cp:coreProperties>
</file>