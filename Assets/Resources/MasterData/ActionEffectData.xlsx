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ゲーム開発Ⅰ\UnityProject\2DRoguelike\Assets\Resources\MasterData\"/>
    </mc:Choice>
  </mc:AlternateContent>
  <xr:revisionPtr revIDLastSave="0" documentId="13_ncr:1_{DFE3DF1D-2999-4896-AC9A-5DC44A147E06}" xr6:coauthVersionLast="47" xr6:coauthVersionMax="47" xr10:uidLastSave="{00000000-0000-0000-0000-000000000000}"/>
  <bookViews>
    <workbookView xWindow="90" yWindow="-15000" windowWidth="12390" windowHeight="14055" xr2:uid="{00000000-000D-0000-FFFF-FFFF00000000}"/>
  </bookViews>
  <sheets>
    <sheet name="ActionEffectData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1" l="1"/>
  <c r="G14" i="1"/>
  <c r="C14" i="1"/>
  <c r="H13" i="1"/>
  <c r="G13" i="1"/>
  <c r="C13" i="1"/>
  <c r="H12" i="1"/>
  <c r="G12" i="1"/>
  <c r="C12" i="1"/>
  <c r="C11" i="1"/>
  <c r="G11" i="1"/>
  <c r="H11" i="1"/>
  <c r="H10" i="1"/>
  <c r="G10" i="1"/>
  <c r="C10" i="1"/>
  <c r="H9" i="1"/>
  <c r="G9" i="1"/>
  <c r="C9" i="1"/>
  <c r="C8" i="1"/>
  <c r="G8" i="1"/>
  <c r="H8" i="1"/>
  <c r="C6" i="1"/>
  <c r="G6" i="1"/>
  <c r="H6" i="1"/>
  <c r="C7" i="1"/>
  <c r="G7" i="1"/>
  <c r="H7" i="1"/>
  <c r="C2" i="1"/>
  <c r="H3" i="1"/>
  <c r="H4" i="1"/>
  <c r="H5" i="1"/>
  <c r="H2" i="1"/>
  <c r="G3" i="1"/>
  <c r="G4" i="1"/>
  <c r="G5" i="1"/>
  <c r="G2" i="1"/>
  <c r="C3" i="1"/>
  <c r="C4" i="1"/>
  <c r="C5" i="1"/>
</calcChain>
</file>

<file path=xl/sharedStrings.xml><?xml version="1.0" encoding="utf-8"?>
<sst xmlns="http://schemas.openxmlformats.org/spreadsheetml/2006/main" count="61" uniqueCount="30">
  <si>
    <t>ID</t>
    <phoneticPr fontId="1"/>
  </si>
  <si>
    <t>comment</t>
    <phoneticPr fontId="1"/>
  </si>
  <si>
    <t>effectType</t>
    <phoneticPr fontId="1"/>
  </si>
  <si>
    <t>param[]</t>
    <phoneticPr fontId="1"/>
  </si>
  <si>
    <t>通常攻撃</t>
    <rPh sb="0" eb="4">
      <t>ツウジョウコウゲキ</t>
    </rPh>
    <phoneticPr fontId="1"/>
  </si>
  <si>
    <t>攻撃力依存ダメージ</t>
    <rPh sb="0" eb="5">
      <t>コウゲキリョクイゾン</t>
    </rPh>
    <phoneticPr fontId="1"/>
  </si>
  <si>
    <t>固定値のHP回復</t>
    <rPh sb="0" eb="3">
      <t>コテイチ</t>
    </rPh>
    <rPh sb="6" eb="8">
      <t>カイフク</t>
    </rPh>
    <phoneticPr fontId="1"/>
  </si>
  <si>
    <t>固定値の満腹度回復</t>
    <rPh sb="0" eb="3">
      <t>コテイチ</t>
    </rPh>
    <rPh sb="4" eb="9">
      <t>マンプクドカイフク</t>
    </rPh>
    <phoneticPr fontId="1"/>
  </si>
  <si>
    <t>固定ダメージ</t>
    <rPh sb="0" eb="2">
      <t>コテイ</t>
    </rPh>
    <phoneticPr fontId="1"/>
  </si>
  <si>
    <t>アイテムを焼く</t>
    <rPh sb="5" eb="6">
      <t>ヤ</t>
    </rPh>
    <phoneticPr fontId="1"/>
  </si>
  <si>
    <t>アイテムを腐らせる</t>
    <rPh sb="5" eb="6">
      <t>クサ</t>
    </rPh>
    <phoneticPr fontId="1"/>
  </si>
  <si>
    <t>対象と場所を入れ替える</t>
    <rPh sb="0" eb="2">
      <t>タイショウ</t>
    </rPh>
    <rPh sb="3" eb="5">
      <t>バショ</t>
    </rPh>
    <rPh sb="6" eb="7">
      <t>イ</t>
    </rPh>
    <rPh sb="8" eb="9">
      <t>カ</t>
    </rPh>
    <phoneticPr fontId="1"/>
  </si>
  <si>
    <t>select</t>
    <phoneticPr fontId="1"/>
  </si>
  <si>
    <t>威力%</t>
    <rPh sb="0" eb="2">
      <t>イリョク</t>
    </rPh>
    <phoneticPr fontId="1"/>
  </si>
  <si>
    <t>未使用</t>
    <rPh sb="0" eb="3">
      <t>ミシヨウ</t>
    </rPh>
    <phoneticPr fontId="1"/>
  </si>
  <si>
    <t>回復量</t>
    <rPh sb="0" eb="3">
      <t>カイフクリョウ</t>
    </rPh>
    <phoneticPr fontId="1"/>
  </si>
  <si>
    <t>ダメージ量</t>
    <rPh sb="4" eb="5">
      <t>リョウ</t>
    </rPh>
    <phoneticPr fontId="1"/>
  </si>
  <si>
    <t>HP10回復</t>
    <rPh sb="4" eb="6">
      <t>カイフク</t>
    </rPh>
    <phoneticPr fontId="1"/>
  </si>
  <si>
    <t>満腹度50回復</t>
    <rPh sb="0" eb="3">
      <t>マンプクド</t>
    </rPh>
    <rPh sb="5" eb="7">
      <t>カイフク</t>
    </rPh>
    <phoneticPr fontId="1"/>
  </si>
  <si>
    <t>満腹度100回復</t>
    <rPh sb="0" eb="3">
      <t>マンプクド</t>
    </rPh>
    <rPh sb="6" eb="8">
      <t>カイフク</t>
    </rPh>
    <phoneticPr fontId="1"/>
  </si>
  <si>
    <t>50ダメージ</t>
    <phoneticPr fontId="1"/>
  </si>
  <si>
    <t>31ダメージ</t>
    <phoneticPr fontId="1"/>
  </si>
  <si>
    <t>5ダメージ</t>
    <phoneticPr fontId="1"/>
  </si>
  <si>
    <t>場所替え</t>
    <rPh sb="0" eb="3">
      <t>バショガ</t>
    </rPh>
    <phoneticPr fontId="1"/>
  </si>
  <si>
    <t>25ダメージ</t>
    <phoneticPr fontId="1"/>
  </si>
  <si>
    <t>ワープ</t>
    <phoneticPr fontId="1"/>
  </si>
  <si>
    <t>吹き飛ばし</t>
    <rPh sb="0" eb="1">
      <t>フ</t>
    </rPh>
    <rPh sb="2" eb="3">
      <t>ト</t>
    </rPh>
    <phoneticPr fontId="1"/>
  </si>
  <si>
    <t>マス数</t>
    <rPh sb="2" eb="3">
      <t>スウ</t>
    </rPh>
    <phoneticPr fontId="1"/>
  </si>
  <si>
    <t>ワープ</t>
  </si>
  <si>
    <t>10マス吹き飛ばし</t>
    <rPh sb="4" eb="5">
      <t>フ</t>
    </rPh>
    <rPh sb="6" eb="7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</si>
</sst>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E14" sqref="E14"/>
    </sheetView>
  </sheetViews>
  <sheetFormatPr defaultRowHeight="18.75"/>
  <cols>
    <col min="1" max="1" width="3.375" bestFit="1" customWidth="1"/>
    <col min="2" max="2" width="19" bestFit="1" customWidth="1"/>
    <col min="3" max="3" width="10.5" hidden="1" customWidth="1"/>
    <col min="4" max="4" width="19" bestFit="1" customWidth="1"/>
    <col min="5" max="6" width="8.375" bestFit="1" customWidth="1"/>
    <col min="7" max="8" width="9.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3</v>
      </c>
      <c r="G1" s="3" t="s">
        <v>1</v>
      </c>
      <c r="H1" s="3" t="s">
        <v>1</v>
      </c>
    </row>
    <row r="2" spans="1:8">
      <c r="A2" s="2">
        <v>0</v>
      </c>
      <c r="B2" s="2" t="s">
        <v>4</v>
      </c>
      <c r="C2" s="2">
        <f>VLOOKUP(D2,reference!A:B,2,FALSE)</f>
        <v>0</v>
      </c>
      <c r="D2" s="2" t="s">
        <v>5</v>
      </c>
      <c r="E2" s="2">
        <v>100</v>
      </c>
      <c r="F2" s="2">
        <v>0</v>
      </c>
      <c r="G2" s="2" t="str">
        <f>VLOOKUP(D2,reference!A:D,3,FALSE)</f>
        <v>威力%</v>
      </c>
      <c r="H2" s="2" t="str">
        <f>VLOOKUP(D2,reference!A:D,4,FALSE)</f>
        <v>未使用</v>
      </c>
    </row>
    <row r="3" spans="1:8">
      <c r="A3" s="2">
        <v>1</v>
      </c>
      <c r="B3" s="2" t="s">
        <v>17</v>
      </c>
      <c r="C3" s="2">
        <f>VLOOKUP(D3,reference!A:B,2,FALSE)</f>
        <v>1</v>
      </c>
      <c r="D3" s="2" t="s">
        <v>6</v>
      </c>
      <c r="E3" s="2">
        <v>10</v>
      </c>
      <c r="F3" s="2">
        <v>0</v>
      </c>
      <c r="G3" s="2" t="str">
        <f>VLOOKUP(D3,reference!A:D,3,FALSE)</f>
        <v>回復量</v>
      </c>
      <c r="H3" s="2" t="str">
        <f>VLOOKUP(D3,reference!A:D,4,FALSE)</f>
        <v>未使用</v>
      </c>
    </row>
    <row r="4" spans="1:8">
      <c r="A4" s="2">
        <v>2</v>
      </c>
      <c r="B4" s="2" t="s">
        <v>18</v>
      </c>
      <c r="C4" s="2">
        <f>VLOOKUP(D4,reference!A:B,2,FALSE)</f>
        <v>2</v>
      </c>
      <c r="D4" s="2" t="s">
        <v>7</v>
      </c>
      <c r="E4" s="2">
        <v>50</v>
      </c>
      <c r="F4" s="2">
        <v>0</v>
      </c>
      <c r="G4" s="2" t="str">
        <f>VLOOKUP(D4,reference!A:D,3,FALSE)</f>
        <v>回復量</v>
      </c>
      <c r="H4" s="2" t="str">
        <f>VLOOKUP(D4,reference!A:D,4,FALSE)</f>
        <v>未使用</v>
      </c>
    </row>
    <row r="5" spans="1:8">
      <c r="A5" s="2">
        <v>3</v>
      </c>
      <c r="B5" s="2" t="s">
        <v>19</v>
      </c>
      <c r="C5" s="2">
        <f>VLOOKUP(D5,reference!A:B,2,FALSE)</f>
        <v>2</v>
      </c>
      <c r="D5" s="2" t="s">
        <v>7</v>
      </c>
      <c r="E5" s="2">
        <v>100</v>
      </c>
      <c r="F5" s="2">
        <v>0</v>
      </c>
      <c r="G5" s="2" t="str">
        <f>VLOOKUP(D5,reference!A:D,3,FALSE)</f>
        <v>回復量</v>
      </c>
      <c r="H5" s="2" t="str">
        <f>VLOOKUP(D5,reference!A:D,4,FALSE)</f>
        <v>未使用</v>
      </c>
    </row>
    <row r="6" spans="1:8">
      <c r="A6" s="2">
        <v>4</v>
      </c>
      <c r="B6" s="2" t="s">
        <v>21</v>
      </c>
      <c r="C6" s="2">
        <f>VLOOKUP(D6,reference!A:B,2,FALSE)</f>
        <v>3</v>
      </c>
      <c r="D6" s="2" t="s">
        <v>8</v>
      </c>
      <c r="E6" s="2">
        <v>31</v>
      </c>
      <c r="F6" s="2">
        <v>0</v>
      </c>
      <c r="G6" s="2" t="str">
        <f>VLOOKUP(D6,reference!A:D,3,FALSE)</f>
        <v>ダメージ量</v>
      </c>
      <c r="H6" s="2" t="str">
        <f>VLOOKUP(D6,reference!A:D,4,FALSE)</f>
        <v>未使用</v>
      </c>
    </row>
    <row r="7" spans="1:8">
      <c r="A7" s="2">
        <v>5</v>
      </c>
      <c r="B7" s="2" t="s">
        <v>20</v>
      </c>
      <c r="C7" s="2">
        <f>VLOOKUP(D7,reference!A:B,2,FALSE)</f>
        <v>3</v>
      </c>
      <c r="D7" s="2" t="s">
        <v>8</v>
      </c>
      <c r="E7" s="2">
        <v>50</v>
      </c>
      <c r="F7" s="2">
        <v>0</v>
      </c>
      <c r="G7" s="2" t="str">
        <f>VLOOKUP(D7,reference!A:D,3,FALSE)</f>
        <v>ダメージ量</v>
      </c>
      <c r="H7" s="2" t="str">
        <f>VLOOKUP(D7,reference!A:D,4,FALSE)</f>
        <v>未使用</v>
      </c>
    </row>
    <row r="8" spans="1:8">
      <c r="A8" s="2">
        <v>6</v>
      </c>
      <c r="B8" s="2" t="s">
        <v>9</v>
      </c>
      <c r="C8" s="2">
        <f>VLOOKUP(D8,reference!A:B,2,FALSE)</f>
        <v>4</v>
      </c>
      <c r="D8" s="2" t="s">
        <v>9</v>
      </c>
      <c r="E8" s="2">
        <v>0</v>
      </c>
      <c r="F8" s="2">
        <v>0</v>
      </c>
      <c r="G8" s="2" t="str">
        <f>VLOOKUP(D8,reference!A:D,3,FALSE)</f>
        <v>未使用</v>
      </c>
      <c r="H8" s="2" t="str">
        <f>VLOOKUP(D8,reference!A:D,4,FALSE)</f>
        <v>未使用</v>
      </c>
    </row>
    <row r="9" spans="1:8">
      <c r="A9" s="2">
        <v>7</v>
      </c>
      <c r="B9" s="2" t="s">
        <v>22</v>
      </c>
      <c r="C9" s="2">
        <f>VLOOKUP(D9,reference!A:B,2,FALSE)</f>
        <v>3</v>
      </c>
      <c r="D9" s="2" t="s">
        <v>8</v>
      </c>
      <c r="E9" s="2">
        <v>5</v>
      </c>
      <c r="F9" s="2">
        <v>0</v>
      </c>
      <c r="G9" s="2" t="str">
        <f>VLOOKUP(D9,reference!A:D,3,FALSE)</f>
        <v>ダメージ量</v>
      </c>
      <c r="H9" s="2" t="str">
        <f>VLOOKUP(D9,reference!A:D,4,FALSE)</f>
        <v>未使用</v>
      </c>
    </row>
    <row r="10" spans="1:8">
      <c r="A10" s="2">
        <v>8</v>
      </c>
      <c r="B10" s="2" t="s">
        <v>10</v>
      </c>
      <c r="C10" s="2">
        <f>VLOOKUP(D10,reference!A:B,2,FALSE)</f>
        <v>5</v>
      </c>
      <c r="D10" s="2" t="s">
        <v>10</v>
      </c>
      <c r="E10" s="2">
        <v>0</v>
      </c>
      <c r="F10" s="2">
        <v>0</v>
      </c>
      <c r="G10" s="2" t="str">
        <f>VLOOKUP(D10,reference!A:D,3,FALSE)</f>
        <v>未使用</v>
      </c>
      <c r="H10" s="2" t="str">
        <f>VLOOKUP(D10,reference!A:D,4,FALSE)</f>
        <v>未使用</v>
      </c>
    </row>
    <row r="11" spans="1:8">
      <c r="A11" s="2">
        <v>9</v>
      </c>
      <c r="B11" s="2" t="s">
        <v>23</v>
      </c>
      <c r="C11" s="2">
        <f>VLOOKUP(D11,reference!A:B,2,FALSE)</f>
        <v>6</v>
      </c>
      <c r="D11" s="2" t="s">
        <v>11</v>
      </c>
      <c r="E11" s="2">
        <v>0</v>
      </c>
      <c r="F11" s="2">
        <v>0</v>
      </c>
      <c r="G11" s="2" t="str">
        <f>VLOOKUP(D11,reference!A:D,3,FALSE)</f>
        <v>未使用</v>
      </c>
      <c r="H11" s="2" t="str">
        <f>VLOOKUP(D11,reference!A:D,4,FALSE)</f>
        <v>未使用</v>
      </c>
    </row>
    <row r="12" spans="1:8">
      <c r="A12" s="2">
        <v>10</v>
      </c>
      <c r="B12" s="2" t="s">
        <v>24</v>
      </c>
      <c r="C12" s="2">
        <f>VLOOKUP(D12,reference!A:B,2,FALSE)</f>
        <v>3</v>
      </c>
      <c r="D12" s="2" t="s">
        <v>8</v>
      </c>
      <c r="E12" s="2">
        <v>25</v>
      </c>
      <c r="F12" s="2">
        <v>0</v>
      </c>
      <c r="G12" s="2" t="str">
        <f>VLOOKUP(D12,reference!A:D,3,FALSE)</f>
        <v>ダメージ量</v>
      </c>
      <c r="H12" s="2" t="str">
        <f>VLOOKUP(D12,reference!A:D,4,FALSE)</f>
        <v>未使用</v>
      </c>
    </row>
    <row r="13" spans="1:8">
      <c r="A13" s="2">
        <v>11</v>
      </c>
      <c r="B13" s="2" t="s">
        <v>25</v>
      </c>
      <c r="C13" s="2">
        <f>VLOOKUP(D13,reference!A:B,2,FALSE)</f>
        <v>7</v>
      </c>
      <c r="D13" s="2" t="s">
        <v>28</v>
      </c>
      <c r="E13" s="2">
        <v>0</v>
      </c>
      <c r="F13" s="2">
        <v>0</v>
      </c>
      <c r="G13" s="2" t="str">
        <f>VLOOKUP(D13,reference!A:D,3,FALSE)</f>
        <v>未使用</v>
      </c>
      <c r="H13" s="2" t="str">
        <f>VLOOKUP(D13,reference!A:D,4,FALSE)</f>
        <v>未使用</v>
      </c>
    </row>
    <row r="14" spans="1:8">
      <c r="A14" s="2">
        <v>12</v>
      </c>
      <c r="B14" s="2" t="s">
        <v>29</v>
      </c>
      <c r="C14" s="2">
        <f>VLOOKUP(D14,reference!A:B,2,FALSE)</f>
        <v>8</v>
      </c>
      <c r="D14" s="2" t="s">
        <v>26</v>
      </c>
      <c r="E14" s="2">
        <v>10</v>
      </c>
      <c r="F14" s="2">
        <v>0</v>
      </c>
      <c r="G14" s="2" t="str">
        <f>VLOOKUP(D14,reference!A:D,3,FALSE)</f>
        <v>マス数</v>
      </c>
      <c r="H14" s="2" t="str">
        <f>VLOOKUP(D14,reference!A:D,4,FALSE)</f>
        <v>未使用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BEF9F8-96FC-47DD-99AE-83018D7C222D}">
          <x14:formula1>
            <xm:f>reference!$A:$A</xm:f>
          </x14:formula1>
          <xm:sqref>D2:D14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5D92-8AB0-4E58-AB32-5914247D4A74}">
  <dimension ref="A1:D9"/>
  <sheetViews>
    <sheetView workbookViewId="0">
      <selection activeCell="C9" sqref="C9"/>
    </sheetView>
  </sheetViews>
  <sheetFormatPr defaultRowHeight="18.75"/>
  <cols>
    <col min="1" max="1" width="23.5" bestFit="1" customWidth="1"/>
    <col min="2" max="2" width="2.5" bestFit="1" customWidth="1"/>
    <col min="3" max="3" width="10.625" bestFit="1" customWidth="1"/>
    <col min="4" max="4" width="7.125" bestFit="1" customWidth="1"/>
  </cols>
  <sheetData>
    <row r="1" spans="1:4">
      <c r="A1" t="s">
        <v>5</v>
      </c>
      <c r="B1">
        <v>0</v>
      </c>
      <c r="C1" t="s">
        <v>13</v>
      </c>
      <c r="D1" t="s">
        <v>14</v>
      </c>
    </row>
    <row r="2" spans="1:4">
      <c r="A2" t="s">
        <v>6</v>
      </c>
      <c r="B2">
        <v>1</v>
      </c>
      <c r="C2" t="s">
        <v>15</v>
      </c>
      <c r="D2" t="s">
        <v>14</v>
      </c>
    </row>
    <row r="3" spans="1:4">
      <c r="A3" t="s">
        <v>7</v>
      </c>
      <c r="B3">
        <v>2</v>
      </c>
      <c r="C3" t="s">
        <v>15</v>
      </c>
      <c r="D3" t="s">
        <v>14</v>
      </c>
    </row>
    <row r="4" spans="1:4">
      <c r="A4" t="s">
        <v>8</v>
      </c>
      <c r="B4">
        <v>3</v>
      </c>
      <c r="C4" t="s">
        <v>16</v>
      </c>
      <c r="D4" t="s">
        <v>14</v>
      </c>
    </row>
    <row r="5" spans="1:4">
      <c r="A5" t="s">
        <v>9</v>
      </c>
      <c r="B5">
        <v>4</v>
      </c>
      <c r="C5" t="s">
        <v>14</v>
      </c>
      <c r="D5" t="s">
        <v>14</v>
      </c>
    </row>
    <row r="6" spans="1:4">
      <c r="A6" t="s">
        <v>10</v>
      </c>
      <c r="B6">
        <v>5</v>
      </c>
      <c r="C6" t="s">
        <v>14</v>
      </c>
      <c r="D6" t="s">
        <v>14</v>
      </c>
    </row>
    <row r="7" spans="1:4">
      <c r="A7" t="s">
        <v>11</v>
      </c>
      <c r="B7">
        <v>6</v>
      </c>
      <c r="C7" t="s">
        <v>14</v>
      </c>
      <c r="D7" t="s">
        <v>14</v>
      </c>
    </row>
    <row r="8" spans="1:4">
      <c r="A8" t="s">
        <v>25</v>
      </c>
      <c r="B8">
        <v>7</v>
      </c>
      <c r="C8" t="s">
        <v>14</v>
      </c>
      <c r="D8" t="s">
        <v>14</v>
      </c>
    </row>
    <row r="9" spans="1:4">
      <c r="A9" t="s">
        <v>26</v>
      </c>
      <c r="B9">
        <v>8</v>
      </c>
      <c r="C9" t="s">
        <v>27</v>
      </c>
      <c r="D9" t="s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ActionEffectData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2026-07-14T05:24:51Z</dcterms:modified>
</cp:coreProperties>
</file>