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819742AC-AD1D-419F-B201-00707AC09126}" xr6:coauthVersionLast="47" xr6:coauthVersionMax="47" xr10:uidLastSave="{00000000-0000-0000-0000-000000000000}"/>
  <bookViews>
    <workbookView xWindow="4320" yWindow="-14340" windowWidth="12390" windowHeight="14055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1" l="1"/>
  <c r="C11" i="1"/>
  <c r="D11" i="1" s="1"/>
  <c r="E10" i="1"/>
  <c r="C10" i="1"/>
  <c r="D10" i="1" s="1"/>
  <c r="E9" i="1"/>
  <c r="C9" i="1"/>
  <c r="D9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12" i="1"/>
  <c r="D12" i="1" s="1"/>
  <c r="C13" i="1"/>
  <c r="D13" i="1" s="1"/>
  <c r="C2" i="1"/>
  <c r="D2" i="1" s="1"/>
  <c r="E13" i="1"/>
  <c r="E12" i="1"/>
  <c r="E5" i="1"/>
  <c r="E6" i="1"/>
  <c r="E7" i="1"/>
  <c r="E3" i="1"/>
  <c r="E4" i="1"/>
  <c r="E8" i="1"/>
  <c r="E2" i="1"/>
</calcChain>
</file>

<file path=xl/sharedStrings.xml><?xml version="1.0" encoding="utf-8"?>
<sst xmlns="http://schemas.openxmlformats.org/spreadsheetml/2006/main" count="32" uniqueCount="20">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</sst>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/>
      <sheetData sheetId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薬2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場所替えの杖</v>
          </cell>
        </row>
        <row r="12">
          <cell r="A12">
            <v>2201</v>
          </cell>
          <cell r="B12" t="str">
            <v>雷の杖</v>
          </cell>
        </row>
        <row r="13">
          <cell r="A13">
            <v>2202</v>
          </cell>
          <cell r="B13" t="str">
            <v>ワープの杖</v>
          </cell>
        </row>
        <row r="14">
          <cell r="A14">
            <v>2203</v>
          </cell>
          <cell r="B14" t="str">
            <v>吹き飛ばしの杖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2299</v>
          </cell>
          <cell r="B20" t="str">
            <v>{0}[{1}]</v>
          </cell>
        </row>
        <row r="21">
          <cell r="A21">
            <v>2300</v>
          </cell>
          <cell r="B21" t="str">
            <v>部屋31ダメ巻物</v>
          </cell>
        </row>
        <row r="22">
          <cell r="A22">
            <v>2301</v>
          </cell>
          <cell r="B22" t="str">
            <v>範囲50ダメ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G11" sqref="G11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f>2000+A2</f>
        <v>2000</v>
      </c>
      <c r="D2" s="1" t="str">
        <f>VLOOKUP(C2,[1]Item!$A:$B,2,FALSE)</f>
        <v>薬1</v>
      </c>
      <c r="E2" s="1">
        <f>VLOOKUP(F2,reference!A:B,2,FALSE)</f>
        <v>0</v>
      </c>
      <c r="F2" s="1" t="s">
        <v>5</v>
      </c>
      <c r="G2" s="1">
        <v>1</v>
      </c>
      <c r="H2" s="1">
        <v>-1</v>
      </c>
      <c r="I2" s="1">
        <v>-1</v>
      </c>
      <c r="J2" s="1">
        <v>2</v>
      </c>
      <c r="K2" s="1">
        <v>5</v>
      </c>
    </row>
    <row r="3" spans="1:11">
      <c r="A3" s="1">
        <v>1</v>
      </c>
      <c r="B3" s="1"/>
      <c r="C3" s="1">
        <f t="shared" ref="C3:C13" si="0">2000+A3</f>
        <v>2001</v>
      </c>
      <c r="D3" s="1" t="str">
        <f>VLOOKUP(C3,[1]Item!$A:$B,2,FALSE)</f>
        <v>薬2</v>
      </c>
      <c r="E3" s="1">
        <f>VLOOKUP(F3,reference!A:B,2,FALSE)</f>
        <v>0</v>
      </c>
      <c r="F3" s="1" t="s">
        <v>5</v>
      </c>
      <c r="G3" s="1">
        <v>-1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f t="shared" si="0"/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3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f t="shared" si="0"/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2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f t="shared" si="0"/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f t="shared" si="0"/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f t="shared" si="0"/>
        <v>2200</v>
      </c>
      <c r="D8" s="1" t="str">
        <f>VLOOKUP(C8,[1]Item!$A:$B,2,FALSE)</f>
        <v>場所替えの杖</v>
      </c>
      <c r="E8" s="1">
        <f>VLOOKUP(F8,reference!A:B,2,FALSE)</f>
        <v>2</v>
      </c>
      <c r="F8" s="1" t="s">
        <v>7</v>
      </c>
      <c r="G8" s="1">
        <v>8</v>
      </c>
      <c r="H8" s="1">
        <v>-1</v>
      </c>
      <c r="I8" s="1">
        <v>-1</v>
      </c>
      <c r="J8" s="1">
        <v>4</v>
      </c>
      <c r="K8" s="1">
        <v>7</v>
      </c>
    </row>
    <row r="9" spans="1:11">
      <c r="A9" s="1">
        <v>201</v>
      </c>
      <c r="B9" s="1"/>
      <c r="C9" s="1">
        <f t="shared" ref="C9" si="1">2000+A9</f>
        <v>2201</v>
      </c>
      <c r="D9" s="1" t="str">
        <f>VLOOKUP(C9,[1]Item!$A:$B,2,FALSE)</f>
        <v>雷の杖</v>
      </c>
      <c r="E9" s="1">
        <f>VLOOKUP(F9,reference!A:B,2,FALSE)</f>
        <v>2</v>
      </c>
      <c r="F9" s="1" t="s">
        <v>7</v>
      </c>
      <c r="G9" s="1">
        <v>9</v>
      </c>
      <c r="H9" s="1">
        <v>-1</v>
      </c>
      <c r="I9" s="1">
        <v>-1</v>
      </c>
      <c r="J9" s="1">
        <v>4</v>
      </c>
      <c r="K9" s="1">
        <v>7</v>
      </c>
    </row>
    <row r="10" spans="1:11">
      <c r="A10" s="1">
        <v>202</v>
      </c>
      <c r="B10" s="1"/>
      <c r="C10" s="1">
        <f t="shared" ref="C10" si="2">2000+A10</f>
        <v>2202</v>
      </c>
      <c r="D10" s="1" t="str">
        <f>VLOOKUP(C10,[1]Item!$A:$B,2,FALSE)</f>
        <v>ワープの杖</v>
      </c>
      <c r="E10" s="1">
        <f>VLOOKUP(F10,reference!A:B,2,FALSE)</f>
        <v>2</v>
      </c>
      <c r="F10" s="1" t="s">
        <v>7</v>
      </c>
      <c r="G10" s="1">
        <v>10</v>
      </c>
      <c r="H10" s="1">
        <v>-1</v>
      </c>
      <c r="I10" s="1">
        <v>-1</v>
      </c>
      <c r="J10" s="1">
        <v>4</v>
      </c>
      <c r="K10" s="1">
        <v>7</v>
      </c>
    </row>
    <row r="11" spans="1:11">
      <c r="A11" s="1">
        <v>203</v>
      </c>
      <c r="B11" s="1"/>
      <c r="C11" s="1">
        <f t="shared" ref="C11" si="3">2000+A11</f>
        <v>2203</v>
      </c>
      <c r="D11" s="1" t="str">
        <f>VLOOKUP(C11,[1]Item!$A:$B,2,FALSE)</f>
        <v>吹き飛ばしの杖</v>
      </c>
      <c r="E11" s="1">
        <f>VLOOKUP(F11,reference!A:B,2,FALSE)</f>
        <v>2</v>
      </c>
      <c r="F11" s="1" t="s">
        <v>7</v>
      </c>
      <c r="G11" s="1">
        <v>11</v>
      </c>
      <c r="H11" s="1">
        <v>-1</v>
      </c>
      <c r="I11" s="1">
        <v>-1</v>
      </c>
      <c r="J11" s="1">
        <v>4</v>
      </c>
      <c r="K11" s="1">
        <v>7</v>
      </c>
    </row>
    <row r="12" spans="1:11">
      <c r="A12" s="1">
        <v>300</v>
      </c>
      <c r="B12" s="1"/>
      <c r="C12" s="1">
        <f t="shared" si="0"/>
        <v>2300</v>
      </c>
      <c r="D12" s="1" t="str">
        <f>VLOOKUP(C12,[1]Item!$A:$B,2,FALSE)</f>
        <v>部屋31ダメ巻物</v>
      </c>
      <c r="E12" s="1">
        <f>VLOOKUP(F12,reference!A:B,2,FALSE)</f>
        <v>3</v>
      </c>
      <c r="F12" s="1" t="s">
        <v>8</v>
      </c>
      <c r="G12" s="1">
        <v>4</v>
      </c>
      <c r="H12" s="1">
        <v>-1</v>
      </c>
      <c r="I12" s="1">
        <v>-1</v>
      </c>
      <c r="J12" s="1">
        <v>-1</v>
      </c>
      <c r="K12" s="1">
        <v>-1</v>
      </c>
    </row>
    <row r="13" spans="1:11">
      <c r="A13" s="1">
        <v>301</v>
      </c>
      <c r="B13" s="1"/>
      <c r="C13" s="1">
        <f t="shared" si="0"/>
        <v>2301</v>
      </c>
      <c r="D13" s="1" t="str">
        <f>VLOOKUP(C13,[1]Item!$A:$B,2,FALSE)</f>
        <v>範囲50ダメ</v>
      </c>
      <c r="E13" s="1">
        <f>VLOOKUP(F13,reference!A:B,2,FALSE)</f>
        <v>3</v>
      </c>
      <c r="F13" s="1" t="s">
        <v>8</v>
      </c>
      <c r="G13" s="1">
        <v>5</v>
      </c>
      <c r="H13" s="1">
        <v>-1</v>
      </c>
      <c r="I13" s="1">
        <v>-1</v>
      </c>
      <c r="J13" s="1">
        <v>-1</v>
      </c>
      <c r="K13" s="1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2026-07-14T05:24:56Z</dcterms:modified>
</cp:coreProperties>
</file>