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18B42FC4-CD42-47D8-998B-657CDA2C8453}" xr6:coauthVersionLast="47" xr6:coauthVersionMax="47" xr10:uidLastSave="{00000000-0000-0000-0000-000000000000}"/>
  <bookViews>
    <workbookView xWindow="9720" yWindow="-13470" windowWidth="15525" windowHeight="13425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E5" i="1"/>
  <c r="D6" i="1"/>
  <c r="E6" i="1"/>
  <c r="D7" i="1"/>
  <c r="E7" i="1"/>
  <c r="E3" i="1"/>
  <c r="E4" i="1"/>
  <c r="E8" i="1"/>
  <c r="E2" i="1"/>
  <c r="D3" i="1"/>
  <c r="D4" i="1"/>
  <c r="D8" i="1"/>
  <c r="D2" i="1"/>
</calcChain>
</file>

<file path=xl/sharedStrings.xml><?xml version="1.0" encoding="utf-8"?>
<sst xmlns="http://schemas.openxmlformats.org/spreadsheetml/2006/main" count="27" uniqueCount="20">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</sst>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薬2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杖1</v>
          </cell>
        </row>
        <row r="12">
          <cell r="A12">
            <v>2201</v>
          </cell>
          <cell r="B12" t="str">
            <v>杖2</v>
          </cell>
        </row>
        <row r="13">
          <cell r="A13">
            <v>2202</v>
          </cell>
          <cell r="B13" t="str">
            <v>杖3</v>
          </cell>
        </row>
        <row r="14">
          <cell r="A14">
            <v>2203</v>
          </cell>
          <cell r="B14" t="str">
            <v>杖4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2300</v>
          </cell>
          <cell r="B20" t="str">
            <v>巻物</v>
          </cell>
        </row>
        <row r="21">
          <cell r="A21"/>
          <cell r="B21"/>
        </row>
        <row r="22">
          <cell r="A22"/>
          <cell r="B22"/>
        </row>
        <row r="23">
          <cell r="A23"/>
          <cell r="B23"/>
        </row>
        <row r="24">
          <cell r="A24"/>
          <cell r="B24"/>
        </row>
        <row r="25">
          <cell r="A25"/>
          <cell r="B25"/>
        </row>
        <row r="26">
          <cell r="A26"/>
          <cell r="B26"/>
        </row>
        <row r="27">
          <cell r="A27"/>
          <cell r="B27"/>
        </row>
        <row r="28">
          <cell r="A28"/>
          <cell r="B28"/>
        </row>
        <row r="29">
          <cell r="A29"/>
          <cell r="B29"/>
        </row>
        <row r="30">
          <cell r="A30"/>
          <cell r="B30"/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D7" sqref="D7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v>2000</v>
      </c>
      <c r="D2" s="1" t="str">
        <f>VLOOKUP(C2,[1]Item!$A:$B,2,FALSE)</f>
        <v>薬1</v>
      </c>
      <c r="E2" s="1">
        <f>VLOOKUP(F2,reference!A:B,2,FALSE)</f>
        <v>6</v>
      </c>
      <c r="F2" s="1" t="s">
        <v>11</v>
      </c>
      <c r="G2" s="1">
        <v>-1</v>
      </c>
      <c r="H2" s="1">
        <v>-1</v>
      </c>
      <c r="I2" s="1">
        <v>-1</v>
      </c>
      <c r="J2" s="1">
        <v>-1</v>
      </c>
      <c r="K2" s="1">
        <v>-1</v>
      </c>
    </row>
    <row r="3" spans="1:11">
      <c r="A3" s="1">
        <v>1</v>
      </c>
      <c r="B3" s="1"/>
      <c r="C3" s="1">
        <v>2001</v>
      </c>
      <c r="D3" s="1" t="str">
        <f>VLOOKUP(C3,[1]Item!$A:$B,2,FALSE)</f>
        <v>薬2</v>
      </c>
      <c r="E3" s="1">
        <f>VLOOKUP(F3,reference!A:B,2,FALSE)</f>
        <v>0</v>
      </c>
      <c r="F3" s="1" t="s">
        <v>5</v>
      </c>
      <c r="G3" s="1">
        <v>-1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-1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-1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v>2200</v>
      </c>
      <c r="D8" s="1" t="str">
        <f>VLOOKUP(C8,[1]Item!$A:$B,2,FALSE)</f>
        <v>杖1</v>
      </c>
      <c r="E8" s="1">
        <f>VLOOKUP(F8,reference!A:B,2,FALSE)</f>
        <v>2</v>
      </c>
      <c r="F8" s="1" t="s">
        <v>7</v>
      </c>
      <c r="G8" s="1">
        <v>-1</v>
      </c>
      <c r="H8" s="1">
        <v>-1</v>
      </c>
      <c r="I8" s="1">
        <v>-1</v>
      </c>
      <c r="J8" s="1">
        <v>2</v>
      </c>
      <c r="K8" s="1">
        <v>7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2026-07-07T03:30:56Z</dcterms:modified>
</cp:coreProperties>
</file>