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ゲーム開発Ⅰ\UnityProject\2DRoguelike\Assets\Resources\MasterData\"/>
    </mc:Choice>
  </mc:AlternateContent>
  <xr:revisionPtr revIDLastSave="0" documentId="13_ncr:1_{A930EF6D-AE10-4DE6-875A-BC1713E52275}" xr6:coauthVersionLast="47" xr6:coauthVersionMax="47" xr10:uidLastSave="{00000000-0000-0000-0000-000000000000}"/>
  <bookViews>
    <workbookView xWindow="2205" yWindow="-14610" windowWidth="21915" windowHeight="13425" xr2:uid="{00000000-000D-0000-FFFF-FFFF00000000}"/>
  </bookViews>
  <sheets>
    <sheet name="ItemData" sheetId="1" r:id="rId1"/>
    <sheet name="reference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D8" i="1" s="1"/>
  <c r="C9" i="1"/>
  <c r="C10" i="1"/>
  <c r="C2" i="1"/>
  <c r="E10" i="1"/>
  <c r="D10" i="1"/>
  <c r="E9" i="1"/>
  <c r="D9" i="1"/>
  <c r="D5" i="1"/>
  <c r="E5" i="1"/>
  <c r="D6" i="1"/>
  <c r="E6" i="1"/>
  <c r="D7" i="1"/>
  <c r="E7" i="1"/>
  <c r="E3" i="1"/>
  <c r="E4" i="1"/>
  <c r="E8" i="1"/>
  <c r="E2" i="1"/>
  <c r="D3" i="1"/>
  <c r="D4" i="1"/>
  <c r="D2" i="1"/>
</calcChain>
</file>

<file path=xl/sharedStrings.xml><?xml version="1.0" encoding="utf-8"?>
<sst xmlns="http://schemas.openxmlformats.org/spreadsheetml/2006/main" count="29" uniqueCount="20">
  <si>
    <t>ID</t>
    <phoneticPr fontId="1"/>
  </si>
  <si>
    <t>name</t>
    <phoneticPr fontId="1"/>
  </si>
  <si>
    <t>nameID</t>
    <phoneticPr fontId="1"/>
  </si>
  <si>
    <t>comment</t>
    <phoneticPr fontId="1"/>
  </si>
  <si>
    <t>category</t>
    <phoneticPr fontId="1"/>
  </si>
  <si>
    <t>薬</t>
    <rPh sb="0" eb="1">
      <t>クスリ</t>
    </rPh>
    <phoneticPr fontId="1"/>
  </si>
  <si>
    <t>食べ物</t>
    <rPh sb="0" eb="1">
      <t>タ</t>
    </rPh>
    <rPh sb="2" eb="3">
      <t>モノ</t>
    </rPh>
    <phoneticPr fontId="1"/>
  </si>
  <si>
    <t>杖</t>
    <rPh sb="0" eb="1">
      <t>ツエ</t>
    </rPh>
    <phoneticPr fontId="1"/>
  </si>
  <si>
    <t>巻物</t>
    <rPh sb="0" eb="2">
      <t>マキモノ</t>
    </rPh>
    <phoneticPr fontId="1"/>
  </si>
  <si>
    <t>バッグ</t>
    <phoneticPr fontId="1"/>
  </si>
  <si>
    <t>飛び道具</t>
    <rPh sb="0" eb="1">
      <t>ト</t>
    </rPh>
    <rPh sb="2" eb="4">
      <t>ドウグ</t>
    </rPh>
    <phoneticPr fontId="1"/>
  </si>
  <si>
    <t>武器</t>
    <rPh sb="0" eb="2">
      <t>ブキ</t>
    </rPh>
    <phoneticPr fontId="1"/>
  </si>
  <si>
    <t>防具</t>
    <rPh sb="0" eb="2">
      <t>ボウグ</t>
    </rPh>
    <phoneticPr fontId="1"/>
  </si>
  <si>
    <t>select</t>
    <phoneticPr fontId="1"/>
  </si>
  <si>
    <t>actionID</t>
    <phoneticPr fontId="1"/>
  </si>
  <si>
    <t>burnID</t>
    <phoneticPr fontId="1"/>
  </si>
  <si>
    <t>lotID</t>
    <phoneticPr fontId="1"/>
  </si>
  <si>
    <t>minValue</t>
    <phoneticPr fontId="1"/>
  </si>
  <si>
    <t>maxValue</t>
    <phoneticPr fontId="1"/>
  </si>
  <si>
    <t>1階にのみ落ちる</t>
    <rPh sb="1" eb="2">
      <t>カイ</t>
    </rPh>
    <rPh sb="5" eb="6">
      <t>オ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</si>
</sst>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essage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Character"/>
      <sheetName val="Item"/>
      <sheetName val="Log"/>
      <sheetName val="Action"/>
    </sheetNames>
    <sheetDataSet>
      <sheetData sheetId="0"/>
      <sheetData sheetId="1"/>
      <sheetData sheetId="2">
        <row r="1">
          <cell r="A1" t="str">
            <v>ID</v>
          </cell>
          <cell r="B1" t="str">
            <v>text[]</v>
          </cell>
        </row>
        <row r="2">
          <cell r="A2">
            <v>2000</v>
          </cell>
          <cell r="B2" t="str">
            <v>薬1</v>
          </cell>
        </row>
        <row r="3">
          <cell r="A3">
            <v>2001</v>
          </cell>
          <cell r="B3" t="str">
            <v>薬2</v>
          </cell>
        </row>
        <row r="4">
          <cell r="A4">
            <v>2002</v>
          </cell>
          <cell r="B4" t="str">
            <v>ポーション</v>
          </cell>
        </row>
        <row r="5">
          <cell r="A5">
            <v>2100</v>
          </cell>
          <cell r="B5" t="str">
            <v>食べ物1</v>
          </cell>
        </row>
        <row r="6">
          <cell r="A6">
            <v>2101</v>
          </cell>
          <cell r="B6" t="str">
            <v>焼けた食べ物</v>
          </cell>
        </row>
        <row r="7">
          <cell r="A7">
            <v>2102</v>
          </cell>
          <cell r="B7" t="str">
            <v>黒こげの食べ物</v>
          </cell>
        </row>
        <row r="8">
          <cell r="A8">
            <v>2103</v>
          </cell>
          <cell r="B8" t="str">
            <v>腐った食べ物</v>
          </cell>
        </row>
        <row r="9">
          <cell r="A9">
            <v>2104</v>
          </cell>
          <cell r="B9" t="str">
            <v>食べ物5</v>
          </cell>
        </row>
        <row r="10">
          <cell r="A10">
            <v>2105</v>
          </cell>
          <cell r="B10" t="str">
            <v>食べ物6</v>
          </cell>
        </row>
        <row r="11">
          <cell r="A11">
            <v>2200</v>
          </cell>
          <cell r="B11" t="str">
            <v>杖1</v>
          </cell>
        </row>
        <row r="12">
          <cell r="A12">
            <v>2201</v>
          </cell>
          <cell r="B12" t="str">
            <v>杖2</v>
          </cell>
        </row>
        <row r="13">
          <cell r="A13">
            <v>2202</v>
          </cell>
          <cell r="B13" t="str">
            <v>杖3</v>
          </cell>
        </row>
        <row r="14">
          <cell r="A14">
            <v>2203</v>
          </cell>
          <cell r="B14" t="str">
            <v>杖4</v>
          </cell>
        </row>
        <row r="15">
          <cell r="A15">
            <v>2204</v>
          </cell>
          <cell r="B15" t="str">
            <v>杖5</v>
          </cell>
        </row>
        <row r="16">
          <cell r="A16">
            <v>2205</v>
          </cell>
          <cell r="B16" t="str">
            <v>杖6</v>
          </cell>
        </row>
        <row r="17">
          <cell r="A17">
            <v>2206</v>
          </cell>
          <cell r="B17" t="str">
            <v>杖7</v>
          </cell>
        </row>
        <row r="18">
          <cell r="A18">
            <v>2207</v>
          </cell>
          <cell r="B18" t="str">
            <v>杖8</v>
          </cell>
        </row>
        <row r="19">
          <cell r="A19">
            <v>2208</v>
          </cell>
          <cell r="B19" t="str">
            <v>杖9</v>
          </cell>
        </row>
        <row r="20">
          <cell r="A20">
            <v>2299</v>
          </cell>
          <cell r="B20" t="str">
            <v>{0}[{1}]</v>
          </cell>
        </row>
        <row r="21">
          <cell r="A21">
            <v>2300</v>
          </cell>
          <cell r="B21" t="str">
            <v>部屋31ダメ巻物</v>
          </cell>
        </row>
        <row r="22">
          <cell r="A22">
            <v>2301</v>
          </cell>
          <cell r="B22" t="str">
            <v>範囲50ダメ</v>
          </cell>
        </row>
        <row r="23">
          <cell r="A23"/>
          <cell r="B23"/>
        </row>
        <row r="24">
          <cell r="A24"/>
          <cell r="B24"/>
        </row>
        <row r="25">
          <cell r="A25"/>
          <cell r="B25"/>
        </row>
        <row r="26">
          <cell r="A26"/>
          <cell r="B26"/>
        </row>
        <row r="27">
          <cell r="A27"/>
          <cell r="B27"/>
        </row>
        <row r="28">
          <cell r="A28"/>
          <cell r="B28"/>
        </row>
        <row r="29">
          <cell r="A29"/>
          <cell r="B29"/>
        </row>
        <row r="30">
          <cell r="A30"/>
          <cell r="B30"/>
        </row>
        <row r="31">
          <cell r="A31"/>
          <cell r="B31"/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>
      <selection activeCell="H4" sqref="H4"/>
    </sheetView>
  </sheetViews>
  <sheetFormatPr defaultRowHeight="18.75"/>
  <cols>
    <col min="1" max="1" width="4.5" bestFit="1" customWidth="1"/>
    <col min="2" max="2" width="16.25" bestFit="1" customWidth="1"/>
    <col min="3" max="3" width="8.125" bestFit="1" customWidth="1"/>
    <col min="4" max="4" width="15" bestFit="1" customWidth="1"/>
    <col min="5" max="5" width="8.625" hidden="1" customWidth="1"/>
    <col min="6" max="6" width="7.125" bestFit="1" customWidth="1"/>
    <col min="7" max="7" width="8.625" bestFit="1" customWidth="1"/>
    <col min="8" max="8" width="7.375" bestFit="1" customWidth="1"/>
    <col min="9" max="9" width="5.5" bestFit="1" customWidth="1"/>
    <col min="10" max="10" width="9.625" bestFit="1" customWidth="1"/>
    <col min="11" max="11" width="9.875" bestFit="1" customWidth="1"/>
  </cols>
  <sheetData>
    <row r="1" spans="1:11">
      <c r="A1" s="1" t="s">
        <v>0</v>
      </c>
      <c r="B1" s="1" t="s">
        <v>3</v>
      </c>
      <c r="C1" s="1" t="s">
        <v>2</v>
      </c>
      <c r="D1" s="1" t="s">
        <v>1</v>
      </c>
      <c r="E1" s="1" t="s">
        <v>4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</row>
    <row r="2" spans="1:11">
      <c r="A2" s="1">
        <v>0</v>
      </c>
      <c r="B2" s="1" t="s">
        <v>19</v>
      </c>
      <c r="C2" s="1">
        <f>2000+A2</f>
        <v>2000</v>
      </c>
      <c r="D2" s="1" t="str">
        <f>VLOOKUP(C2,[1]Item!$A:$B,2,FALSE)</f>
        <v>薬1</v>
      </c>
      <c r="E2" s="1">
        <f>VLOOKUP(F2,reference!A:B,2,FALSE)</f>
        <v>0</v>
      </c>
      <c r="F2" s="1" t="s">
        <v>5</v>
      </c>
      <c r="G2" s="1">
        <v>1</v>
      </c>
      <c r="H2" s="1">
        <v>-1</v>
      </c>
      <c r="I2" s="1">
        <v>-1</v>
      </c>
      <c r="J2" s="1">
        <v>2</v>
      </c>
      <c r="K2" s="1">
        <v>5</v>
      </c>
    </row>
    <row r="3" spans="1:11">
      <c r="A3" s="1">
        <v>1</v>
      </c>
      <c r="B3" s="1"/>
      <c r="C3" s="1">
        <f t="shared" ref="C3:C10" si="0">2000+A3</f>
        <v>2001</v>
      </c>
      <c r="D3" s="1" t="str">
        <f>VLOOKUP(C3,[1]Item!$A:$B,2,FALSE)</f>
        <v>薬2</v>
      </c>
      <c r="E3" s="1">
        <f>VLOOKUP(F3,reference!A:B,2,FALSE)</f>
        <v>0</v>
      </c>
      <c r="F3" s="1" t="s">
        <v>5</v>
      </c>
      <c r="G3" s="1">
        <v>-1</v>
      </c>
      <c r="H3" s="1">
        <v>-1</v>
      </c>
      <c r="I3" s="1">
        <v>-1</v>
      </c>
      <c r="J3" s="1">
        <v>-1</v>
      </c>
      <c r="K3" s="1">
        <v>-1</v>
      </c>
    </row>
    <row r="4" spans="1:11">
      <c r="A4" s="1">
        <v>100</v>
      </c>
      <c r="B4" s="1"/>
      <c r="C4" s="1">
        <f t="shared" si="0"/>
        <v>2100</v>
      </c>
      <c r="D4" s="1" t="str">
        <f>VLOOKUP(C4,[1]Item!$A:$B,2,FALSE)</f>
        <v>食べ物1</v>
      </c>
      <c r="E4" s="1">
        <f>VLOOKUP(F4,reference!A:B,2,FALSE)</f>
        <v>1</v>
      </c>
      <c r="F4" s="1" t="s">
        <v>6</v>
      </c>
      <c r="G4" s="1">
        <v>3</v>
      </c>
      <c r="H4" s="1">
        <v>101</v>
      </c>
      <c r="I4" s="1">
        <v>103</v>
      </c>
      <c r="J4" s="1">
        <v>-1</v>
      </c>
      <c r="K4" s="1">
        <v>-1</v>
      </c>
    </row>
    <row r="5" spans="1:11">
      <c r="A5" s="1">
        <v>101</v>
      </c>
      <c r="B5" s="1"/>
      <c r="C5" s="1">
        <f t="shared" si="0"/>
        <v>2101</v>
      </c>
      <c r="D5" s="1" t="str">
        <f>VLOOKUP(C5,[1]Item!$A:$B,2,FALSE)</f>
        <v>焼けた食べ物</v>
      </c>
      <c r="E5" s="1">
        <f>VLOOKUP(F5,reference!A:B,2,FALSE)</f>
        <v>1</v>
      </c>
      <c r="F5" s="1" t="s">
        <v>6</v>
      </c>
      <c r="G5" s="1">
        <v>2</v>
      </c>
      <c r="H5" s="1">
        <v>102</v>
      </c>
      <c r="I5" s="1">
        <v>-1</v>
      </c>
      <c r="J5" s="1">
        <v>-1</v>
      </c>
      <c r="K5" s="1">
        <v>-1</v>
      </c>
    </row>
    <row r="6" spans="1:11">
      <c r="A6" s="1">
        <v>102</v>
      </c>
      <c r="B6" s="1"/>
      <c r="C6" s="1">
        <f t="shared" si="0"/>
        <v>2102</v>
      </c>
      <c r="D6" s="1" t="str">
        <f>VLOOKUP(C6,[1]Item!$A:$B,2,FALSE)</f>
        <v>黒こげの食べ物</v>
      </c>
      <c r="E6" s="1">
        <f>VLOOKUP(F6,reference!A:B,2,FALSE)</f>
        <v>1</v>
      </c>
      <c r="F6" s="1" t="s">
        <v>6</v>
      </c>
      <c r="G6" s="1">
        <v>-1</v>
      </c>
      <c r="H6" s="1">
        <v>-1</v>
      </c>
      <c r="I6" s="1">
        <v>-1</v>
      </c>
      <c r="J6" s="1">
        <v>-1</v>
      </c>
      <c r="K6" s="1">
        <v>-1</v>
      </c>
    </row>
    <row r="7" spans="1:11">
      <c r="A7" s="1">
        <v>103</v>
      </c>
      <c r="B7" s="1"/>
      <c r="C7" s="1">
        <f t="shared" si="0"/>
        <v>2103</v>
      </c>
      <c r="D7" s="1" t="str">
        <f>VLOOKUP(C7,[1]Item!$A:$B,2,FALSE)</f>
        <v>腐った食べ物</v>
      </c>
      <c r="E7" s="1">
        <f>VLOOKUP(F7,reference!A:B,2,FALSE)</f>
        <v>1</v>
      </c>
      <c r="F7" s="1" t="s">
        <v>6</v>
      </c>
      <c r="G7" s="1">
        <v>-1</v>
      </c>
      <c r="H7" s="1">
        <v>-1</v>
      </c>
      <c r="I7" s="1">
        <v>-1</v>
      </c>
      <c r="J7" s="1">
        <v>-1</v>
      </c>
      <c r="K7" s="1">
        <v>-1</v>
      </c>
    </row>
    <row r="8" spans="1:11">
      <c r="A8" s="1">
        <v>200</v>
      </c>
      <c r="B8" s="1"/>
      <c r="C8" s="1">
        <f t="shared" si="0"/>
        <v>2200</v>
      </c>
      <c r="D8" s="1" t="str">
        <f>VLOOKUP(C8,[1]Item!$A:$B,2,FALSE)</f>
        <v>杖1</v>
      </c>
      <c r="E8" s="1">
        <f>VLOOKUP(F8,reference!A:B,2,FALSE)</f>
        <v>2</v>
      </c>
      <c r="F8" s="1" t="s">
        <v>7</v>
      </c>
      <c r="G8" s="1">
        <v>-1</v>
      </c>
      <c r="H8" s="1">
        <v>-1</v>
      </c>
      <c r="I8" s="1">
        <v>-1</v>
      </c>
      <c r="J8" s="1">
        <v>2</v>
      </c>
      <c r="K8" s="1">
        <v>7</v>
      </c>
    </row>
    <row r="9" spans="1:11">
      <c r="A9" s="1">
        <v>300</v>
      </c>
      <c r="B9" s="1"/>
      <c r="C9" s="1">
        <f t="shared" si="0"/>
        <v>2300</v>
      </c>
      <c r="D9" s="1" t="str">
        <f>VLOOKUP(C9,[1]Item!$A:$B,2,FALSE)</f>
        <v>部屋31ダメ巻物</v>
      </c>
      <c r="E9" s="1">
        <f>VLOOKUP(F9,reference!A:B,2,FALSE)</f>
        <v>3</v>
      </c>
      <c r="F9" s="1" t="s">
        <v>8</v>
      </c>
      <c r="G9" s="1">
        <v>4</v>
      </c>
      <c r="H9" s="1">
        <v>-1</v>
      </c>
      <c r="I9" s="1">
        <v>-1</v>
      </c>
      <c r="J9" s="1">
        <v>-1</v>
      </c>
      <c r="K9" s="1">
        <v>-1</v>
      </c>
    </row>
    <row r="10" spans="1:11">
      <c r="A10" s="1">
        <v>301</v>
      </c>
      <c r="B10" s="1"/>
      <c r="C10" s="1">
        <f t="shared" si="0"/>
        <v>2301</v>
      </c>
      <c r="D10" s="1" t="str">
        <f>VLOOKUP(C10,[1]Item!$A:$B,2,FALSE)</f>
        <v>範囲50ダメ</v>
      </c>
      <c r="E10" s="1">
        <f>VLOOKUP(F10,reference!A:B,2,FALSE)</f>
        <v>3</v>
      </c>
      <c r="F10" s="1" t="s">
        <v>8</v>
      </c>
      <c r="G10" s="1">
        <v>5</v>
      </c>
      <c r="H10" s="1">
        <v>-1</v>
      </c>
      <c r="I10" s="1">
        <v>-1</v>
      </c>
      <c r="J10" s="1">
        <v>-1</v>
      </c>
      <c r="K10" s="1">
        <v>-1</v>
      </c>
    </row>
  </sheetData>
  <phoneticPr fontId="1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5E0F9AB-5894-43B4-BB8B-AA626A74F34F}">
          <x14:formula1>
            <xm:f>reference!$A:$A</xm:f>
          </x14:formula1>
          <xm:sqref>F2:F10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525A1-F0F8-45D2-86AC-79331EB14312}">
  <dimension ref="A1:B8"/>
  <sheetViews>
    <sheetView workbookViewId="0">
      <selection activeCell="B2" sqref="B2"/>
    </sheetView>
  </sheetViews>
  <sheetFormatPr defaultRowHeight="18.75"/>
  <sheetData>
    <row r="1" spans="1:2">
      <c r="A1" t="s">
        <v>5</v>
      </c>
      <c r="B1">
        <v>0</v>
      </c>
    </row>
    <row r="2" spans="1:2">
      <c r="A2" t="s">
        <v>6</v>
      </c>
      <c r="B2">
        <v>1</v>
      </c>
    </row>
    <row r="3" spans="1:2">
      <c r="A3" t="s">
        <v>7</v>
      </c>
      <c r="B3">
        <v>2</v>
      </c>
    </row>
    <row r="4" spans="1:2">
      <c r="A4" t="s">
        <v>8</v>
      </c>
      <c r="B4">
        <v>3</v>
      </c>
    </row>
    <row r="5" spans="1:2">
      <c r="A5" t="s">
        <v>9</v>
      </c>
      <c r="B5">
        <v>4</v>
      </c>
    </row>
    <row r="6" spans="1:2">
      <c r="A6" t="s">
        <v>10</v>
      </c>
      <c r="B6">
        <v>5</v>
      </c>
    </row>
    <row r="7" spans="1:2">
      <c r="A7" t="s">
        <v>11</v>
      </c>
      <c r="B7">
        <v>6</v>
      </c>
    </row>
    <row r="8" spans="1:2">
      <c r="A8" t="s">
        <v>12</v>
      </c>
      <c r="B8">
        <v>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ItemData</vt:lpstr>
      <vt:lpstr>reference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teacher</dc:creator>
  <cp:lastModifiedBy>上木原 友樹</cp:lastModifiedBy>
  <dcterms:created xsi:type="dcterms:W3CDTF">2015-06-05T18:19:34Z</dcterms:created>
  <dcterms:modified xsi:type="dcterms:W3CDTF">2026-07-10T06:09:45Z</dcterms:modified>
</cp:coreProperties>
</file>